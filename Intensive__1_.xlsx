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" sheetId="1" r:id="rId5"/>
    <sheet state="visible" name="Upper" sheetId="2" r:id="rId6"/>
    <sheet state="visible" name="Beginner" sheetId="3" r:id="rId7"/>
    <sheet state="visible" name="Elementary" sheetId="4" r:id="rId8"/>
    <sheet state="visible" name="Pre-Inter" sheetId="5" r:id="rId9"/>
    <sheet state="visible" name="Inter" sheetId="6" r:id="rId10"/>
    <sheet state="visible" name="individual" sheetId="7" r:id="rId11"/>
    <sheet state="visible" name="total" sheetId="8" r:id="rId12"/>
    <sheet state="visible" name="ташкент тур" sheetId="9" r:id="rId13"/>
    <sheet state="visible" name="жатакана" sheetId="10" r:id="rId14"/>
    <sheet state="visible" name="китайский" sheetId="11" r:id="rId15"/>
    <sheet state="visible" name="возврат" sheetId="12" r:id="rId16"/>
  </sheets>
  <definedNames/>
  <calcPr/>
</workbook>
</file>

<file path=xl/sharedStrings.xml><?xml version="1.0" encoding="utf-8"?>
<sst xmlns="http://schemas.openxmlformats.org/spreadsheetml/2006/main" count="1631" uniqueCount="837">
  <si>
    <t xml:space="preserve"> </t>
  </si>
  <si>
    <t>N</t>
  </si>
  <si>
    <t>Date of sign</t>
  </si>
  <si>
    <t>Contract</t>
  </si>
  <si>
    <t xml:space="preserve">Name / Surname </t>
  </si>
  <si>
    <t>Phone number</t>
  </si>
  <si>
    <t>Emergency contact</t>
  </si>
  <si>
    <t>School/grade</t>
  </si>
  <si>
    <t>Bron</t>
  </si>
  <si>
    <t>Date</t>
  </si>
  <si>
    <t>June</t>
  </si>
  <si>
    <t>July</t>
  </si>
  <si>
    <t>August</t>
  </si>
  <si>
    <t>Камалова Айдеми</t>
  </si>
  <si>
    <t>Акматов Айдемир</t>
  </si>
  <si>
    <t>мама 772 82 82 41</t>
  </si>
  <si>
    <t>Мамадалиев Гайратжон</t>
  </si>
  <si>
    <t>Сапарбаев Мухаммад</t>
  </si>
  <si>
    <t>мама 996 773 125 917</t>
  </si>
  <si>
    <t>общага</t>
  </si>
  <si>
    <t>венера</t>
  </si>
  <si>
    <t>Парманов Мухаммадали</t>
  </si>
  <si>
    <t>Асанов Нурсаид</t>
  </si>
  <si>
    <t>мама 996 708 582 627</t>
  </si>
  <si>
    <t xml:space="preserve">Анарбаев Мыктыбек </t>
  </si>
  <si>
    <t>Allia</t>
  </si>
  <si>
    <t>Тажибаев Белек</t>
  </si>
  <si>
    <t>996221523522/79086692140</t>
  </si>
  <si>
    <t xml:space="preserve">50 % скидка только ему </t>
  </si>
  <si>
    <t>Абдилакимов Даниэл</t>
  </si>
  <si>
    <t>500 375 801</t>
  </si>
  <si>
    <t>777 862 105</t>
  </si>
  <si>
    <t>Диана</t>
  </si>
  <si>
    <t>Кожомжаров Нуртилек</t>
  </si>
  <si>
    <t>770 323 907</t>
  </si>
  <si>
    <t>774 117 368</t>
  </si>
  <si>
    <t>Акжолов Элдар</t>
  </si>
  <si>
    <t>220 848 909</t>
  </si>
  <si>
    <t>778 944 701</t>
  </si>
  <si>
    <t>Салиев Элмурат</t>
  </si>
  <si>
    <t>773 888 557</t>
  </si>
  <si>
    <t xml:space="preserve">776 231 414 </t>
  </si>
  <si>
    <t xml:space="preserve">Чоенбаев Мухаммед </t>
  </si>
  <si>
    <t>Какаев Бекжан</t>
  </si>
  <si>
    <t>мама 996 777 813 631</t>
  </si>
  <si>
    <t xml:space="preserve">Абдамитов Даниэл </t>
  </si>
  <si>
    <t>775 835 351</t>
  </si>
  <si>
    <t>Grpoup: Evening               Time: 16:30-18:00               class:    3            Teacher:     Mr Green</t>
  </si>
  <si>
    <t>April</t>
  </si>
  <si>
    <t>May</t>
  </si>
  <si>
    <t xml:space="preserve">Шамшиев Байэл </t>
  </si>
  <si>
    <t xml:space="preserve">общага </t>
  </si>
  <si>
    <t>Таабалдиев Тимур</t>
  </si>
  <si>
    <t>Анжелика</t>
  </si>
  <si>
    <t>Умаров Салохидин</t>
  </si>
  <si>
    <t>Зейнеп Сагынбаева</t>
  </si>
  <si>
    <t>779 124 110</t>
  </si>
  <si>
    <t>777 532 035</t>
  </si>
  <si>
    <t xml:space="preserve">Хомитхонов Аббос </t>
  </si>
  <si>
    <t>Салибаев Залкарбек</t>
  </si>
  <si>
    <t>773 215 904</t>
  </si>
  <si>
    <t>777 442 533</t>
  </si>
  <si>
    <t>Каримбердиев Даниэл</t>
  </si>
  <si>
    <t>220 188 227</t>
  </si>
  <si>
    <t>559 554 145</t>
  </si>
  <si>
    <t xml:space="preserve">Абдумиталипов Зафаржон </t>
  </si>
  <si>
    <t>556 131 516</t>
  </si>
  <si>
    <t>556 595 849</t>
  </si>
  <si>
    <t xml:space="preserve">Абдуллаев Абдулло </t>
  </si>
  <si>
    <t>507 018 610</t>
  </si>
  <si>
    <t>папа 996 558 587 776/ 996 706 761 903</t>
  </si>
  <si>
    <t>16 лет</t>
  </si>
  <si>
    <t xml:space="preserve">Айганыш Абдукарова </t>
  </si>
  <si>
    <t>папа +996772284907</t>
  </si>
  <si>
    <t xml:space="preserve">Allia </t>
  </si>
  <si>
    <t>Мухаммадюнус Абдужаббаров</t>
  </si>
  <si>
    <t>-</t>
  </si>
  <si>
    <t>uni</t>
  </si>
  <si>
    <t>Анарбаев Жаныш</t>
  </si>
  <si>
    <t>Парпиева Арууке</t>
  </si>
  <si>
    <t>996 226 717 116</t>
  </si>
  <si>
    <t xml:space="preserve"> +1 224 449 90 160 папа</t>
  </si>
  <si>
    <t>16 10 класс</t>
  </si>
  <si>
    <t>Абдыкапарова Аэлита</t>
  </si>
  <si>
    <t>996 555 420 036</t>
  </si>
  <si>
    <t>мама 996 779 108 127</t>
  </si>
  <si>
    <t xml:space="preserve">   </t>
  </si>
  <si>
    <t>Grpoup: Mr Baiysh               Time: 12:30-14:00               class:  3              Teacher:     Baiysh</t>
  </si>
  <si>
    <t xml:space="preserve">April </t>
  </si>
  <si>
    <t xml:space="preserve">June </t>
  </si>
  <si>
    <t xml:space="preserve">July </t>
  </si>
  <si>
    <t xml:space="preserve">August </t>
  </si>
  <si>
    <t xml:space="preserve">Хайруллаев Тимур- Малик </t>
  </si>
  <si>
    <t>Убайдиллаев Исхак</t>
  </si>
  <si>
    <t>мама 996 700 124 483/ 996 708 366 744</t>
  </si>
  <si>
    <t>996 704 268 926</t>
  </si>
  <si>
    <t>Абиджапаров Бекулан</t>
  </si>
  <si>
    <t>папа 996 553 373 812</t>
  </si>
  <si>
    <t>папа 996 551 455 257</t>
  </si>
  <si>
    <t>Аманов Эрнист</t>
  </si>
  <si>
    <t>мама 996 777 118 676</t>
  </si>
  <si>
    <t>996 556 515 568</t>
  </si>
  <si>
    <t xml:space="preserve">Бахапов Амантур </t>
  </si>
  <si>
    <t xml:space="preserve">Алия </t>
  </si>
  <si>
    <t>Жаныбаев Азирети Билал</t>
  </si>
  <si>
    <t>503 220 670</t>
  </si>
  <si>
    <t xml:space="preserve"> 776 173 569 </t>
  </si>
  <si>
    <t>Мендибаева Алия</t>
  </si>
  <si>
    <t>996 755 454 342</t>
  </si>
  <si>
    <t>551 510 078</t>
  </si>
  <si>
    <t>Иминов Адилет</t>
  </si>
  <si>
    <t>996 558 477 410</t>
  </si>
  <si>
    <t>996 500 464 208 папа</t>
  </si>
  <si>
    <t>Кылычбеков Ариет</t>
  </si>
  <si>
    <t>996 559 303 733</t>
  </si>
  <si>
    <t>мама 996 555 821 456</t>
  </si>
  <si>
    <t xml:space="preserve">Кадырбеков Бекжан </t>
  </si>
  <si>
    <t>996 552 190 609</t>
  </si>
  <si>
    <t>папа 996 772 724 276</t>
  </si>
  <si>
    <t>Абдыкадыров Умар</t>
  </si>
  <si>
    <t>996 995 242 528</t>
  </si>
  <si>
    <t>мама 996 990 676 739</t>
  </si>
  <si>
    <t>Раималиев Жумакадыр</t>
  </si>
  <si>
    <t>996 509 449 357</t>
  </si>
  <si>
    <t>мама 996 778 321 150</t>
  </si>
  <si>
    <t xml:space="preserve">Насырмаматова Айназик </t>
  </si>
  <si>
    <t>Ормонбеков Бекмурат</t>
  </si>
  <si>
    <t>557 02 00 25</t>
  </si>
  <si>
    <t>мама 996 557 758 181</t>
  </si>
  <si>
    <t>Махамаджанов Абдуллох</t>
  </si>
  <si>
    <t>Grpoup:                Time: 10:30-12:00               class:    3            Teacher:     -Green</t>
  </si>
  <si>
    <t>Абдинабиев Искендер</t>
  </si>
  <si>
    <t>996 773 168 539</t>
  </si>
  <si>
    <t>мама 996 770 303 440</t>
  </si>
  <si>
    <t xml:space="preserve"> Касымбекова Фатима </t>
  </si>
  <si>
    <t>Эргешбаев Залкарбек</t>
  </si>
  <si>
    <t>996 990 900 713</t>
  </si>
  <si>
    <t>папа 996 777 043 402/ мама 996 509 290 386</t>
  </si>
  <si>
    <t>Мусаев Нуртилек</t>
  </si>
  <si>
    <t>996 755 702 025</t>
  </si>
  <si>
    <t>996 557 103 980</t>
  </si>
  <si>
    <t>Медербекова Эльвира</t>
  </si>
  <si>
    <t>996 772 693 838</t>
  </si>
  <si>
    <t>мама 996 999 816 181/ папа 996 556 690 939</t>
  </si>
  <si>
    <t>завтра придет</t>
  </si>
  <si>
    <t xml:space="preserve">Абдисаламова Сауле </t>
  </si>
  <si>
    <t>Абдыгапарова Акмаржан</t>
  </si>
  <si>
    <t>996 999 210 097</t>
  </si>
  <si>
    <t>мама 996 554 170 747/ папа 996 706 077 177</t>
  </si>
  <si>
    <t>Аскарбекова Аруужан</t>
  </si>
  <si>
    <t>996 777 487 373</t>
  </si>
  <si>
    <t>мама 996 778 073 113</t>
  </si>
  <si>
    <t>Кадыров Азатбек</t>
  </si>
  <si>
    <t>Юнусов Тейитбек</t>
  </si>
  <si>
    <t>996 500 490 331</t>
  </si>
  <si>
    <t>энеси 996 771 621 277</t>
  </si>
  <si>
    <t>Суйунбаева Гулазема</t>
  </si>
  <si>
    <t>996 225 220 410</t>
  </si>
  <si>
    <t>996 222 340 234</t>
  </si>
  <si>
    <t>Бегалиева Арууке</t>
  </si>
  <si>
    <t>996 504 400 015</t>
  </si>
  <si>
    <t>996 550 000 220</t>
  </si>
  <si>
    <t>26,305,2026</t>
  </si>
  <si>
    <t>Сайпиллаев Бектемир</t>
  </si>
  <si>
    <t>996 704 841 784</t>
  </si>
  <si>
    <t>996 771 108 083</t>
  </si>
  <si>
    <t>Саматова Бейшегул</t>
  </si>
  <si>
    <t>Баракова Фатима</t>
  </si>
  <si>
    <t>996 776 445 405</t>
  </si>
  <si>
    <t xml:space="preserve">Grpoup:                Time: 14:30-16:00               class:  3              Teacher:     Mr Baiysh     </t>
  </si>
  <si>
    <t xml:space="preserve">Насридинова Диора </t>
  </si>
  <si>
    <t>Абдуганиев Эрланбек</t>
  </si>
  <si>
    <t>996 554 424 009</t>
  </si>
  <si>
    <t xml:space="preserve">Конуратова Айдай </t>
  </si>
  <si>
    <t>Эргешов Нуркамил</t>
  </si>
  <si>
    <t xml:space="preserve"> 755 110 177</t>
  </si>
  <si>
    <t>772 166 664</t>
  </si>
  <si>
    <t xml:space="preserve">Самира Аманбекова </t>
  </si>
  <si>
    <t xml:space="preserve">Минбаева Алтынай </t>
  </si>
  <si>
    <t xml:space="preserve">Кочкорова Айдай </t>
  </si>
  <si>
    <t>996 507 15 77 00</t>
  </si>
  <si>
    <t>папа 550 15 77 00</t>
  </si>
  <si>
    <t xml:space="preserve">Жээнбекова аяна </t>
  </si>
  <si>
    <t>Исмаилов Бекзат</t>
  </si>
  <si>
    <t>996 551 45 46 25</t>
  </si>
  <si>
    <t>7 926 055 70 50</t>
  </si>
  <si>
    <t>Абдиманапов Нурсултан</t>
  </si>
  <si>
    <t>Абдибаитова Арууке</t>
  </si>
  <si>
    <t>996 551 104 082</t>
  </si>
  <si>
    <t xml:space="preserve">Ханифа </t>
  </si>
  <si>
    <t>Аманатов Тилекмат</t>
  </si>
  <si>
    <t>995-21-15-44</t>
  </si>
  <si>
    <t>556-22-01-25</t>
  </si>
  <si>
    <t>Эламан</t>
  </si>
  <si>
    <t>Абдиманапов Байкут</t>
  </si>
  <si>
    <t>Жороева Рахат</t>
  </si>
  <si>
    <t>ielts</t>
  </si>
  <si>
    <t>class 1</t>
  </si>
  <si>
    <t>green</t>
  </si>
  <si>
    <t>Grpoup:    15,06            Time:  14:30            class:  1              Teacher:     Mr Green</t>
  </si>
  <si>
    <t>Дарига Жанышбекова</t>
  </si>
  <si>
    <t>Мамыр агай толойт</t>
  </si>
  <si>
    <t>Раяна Аскатбекова</t>
  </si>
  <si>
    <t>Насирдинов Муктарбек</t>
  </si>
  <si>
    <t>Тайчиков Канатбек</t>
  </si>
  <si>
    <t>Тургунбаева Рейхана</t>
  </si>
  <si>
    <t>996 554 503 344</t>
  </si>
  <si>
    <t>Elaman</t>
  </si>
  <si>
    <t>Айтиева Айбийке</t>
  </si>
  <si>
    <t>996 774 252 591</t>
  </si>
  <si>
    <t>996 779 198 479 мамасы</t>
  </si>
  <si>
    <t xml:space="preserve">Беркошова Акылай </t>
  </si>
  <si>
    <t xml:space="preserve">0552667698 мама </t>
  </si>
  <si>
    <t xml:space="preserve">Тойгонбаев Даниэл </t>
  </si>
  <si>
    <t>7 926 666 04 74 атасы</t>
  </si>
  <si>
    <t>Колдошбаев Нурэл</t>
  </si>
  <si>
    <t>мама 996 999 286 688</t>
  </si>
  <si>
    <t>Мадымаров Артур</t>
  </si>
  <si>
    <t>Таникулов Абдурахим</t>
  </si>
  <si>
    <t xml:space="preserve">до 20 оплатят ост сумму </t>
  </si>
  <si>
    <t>Медетбеков Байхан</t>
  </si>
  <si>
    <t>скидка 4тыс</t>
  </si>
  <si>
    <t>Акылбеков Нурбакыт</t>
  </si>
  <si>
    <t>996 220 966 588</t>
  </si>
  <si>
    <t>мама 996 779 290 208</t>
  </si>
  <si>
    <t>Акынбаев Элдар</t>
  </si>
  <si>
    <t>996 772 170 311</t>
  </si>
  <si>
    <t>996 771 190 879</t>
  </si>
  <si>
    <t>Сайназарова Сайкал</t>
  </si>
  <si>
    <t>996 500 425 221</t>
  </si>
  <si>
    <t>мама 996 555 425 221</t>
  </si>
  <si>
    <t>Grpoup:    29.06           Time:  8:30-10:00            class:  2              Teacher:     Mr Madina</t>
  </si>
  <si>
    <t>1. Сегизбаева Айбике</t>
  </si>
  <si>
    <t>Сакулов Арген</t>
  </si>
  <si>
    <t>999103334отец/550000220 дядя</t>
  </si>
  <si>
    <t>3. ⁠Сайдазова Айбийке</t>
  </si>
  <si>
    <t>4. Ахматов Юсуф</t>
  </si>
  <si>
    <t>5. Кабылова Айзат</t>
  </si>
  <si>
    <t>6. Эргешов Али</t>
  </si>
  <si>
    <t>7. Рахимов Азизбек</t>
  </si>
  <si>
    <t>8. ⁠Казакбаев Абдурахмон</t>
  </si>
  <si>
    <t>9. ⁠Сайдалимов Абубакир</t>
  </si>
  <si>
    <t>10. Ишматов Азизилло</t>
  </si>
  <si>
    <t>11. Дорбанов Акылбек</t>
  </si>
  <si>
    <t>12. ⁠Жумагулова Тамерис</t>
  </si>
  <si>
    <t>13. Маннапова Назира</t>
  </si>
  <si>
    <t>диана</t>
  </si>
  <si>
    <t>Асанова Сауле</t>
  </si>
  <si>
    <t>Акимова Даткайым</t>
  </si>
  <si>
    <t xml:space="preserve">996 772 940 737 </t>
  </si>
  <si>
    <t>996 556 433 515 мама</t>
  </si>
  <si>
    <t xml:space="preserve">баэль 2010/ </t>
  </si>
  <si>
    <t xml:space="preserve">Grpoup:    13.07           Time: start 10:30-12:00        class:  4              Teacher:   Madina  </t>
  </si>
  <si>
    <t>Минбаев Байыш</t>
  </si>
  <si>
    <t>996 755 414 190</t>
  </si>
  <si>
    <t>996 551 947 007</t>
  </si>
  <si>
    <t>Матанов Абдумалик</t>
  </si>
  <si>
    <t>эламан</t>
  </si>
  <si>
    <t xml:space="preserve">Амирхамид </t>
  </si>
  <si>
    <t>Кубанычов Байгелди</t>
  </si>
  <si>
    <t xml:space="preserve">Grpoup: morning              Time: 10:30-12-00           Day:                 Teacher:  mr,Yan </t>
  </si>
  <si>
    <t>Султанова Мадина</t>
  </si>
  <si>
    <t>706 857 070</t>
  </si>
  <si>
    <t xml:space="preserve"> 7 914 084 60 27</t>
  </si>
  <si>
    <t>Ашурбеков Курманбек</t>
  </si>
  <si>
    <t>755 768 616</t>
  </si>
  <si>
    <t>557 768 611</t>
  </si>
  <si>
    <t>Оонбаева Гулнур</t>
  </si>
  <si>
    <t>Марипжан кызы Гулзирек</t>
  </si>
  <si>
    <t>2-3 кун</t>
  </si>
  <si>
    <t>Насиров Байэл</t>
  </si>
  <si>
    <t>аппер</t>
  </si>
  <si>
    <t xml:space="preserve">Grpoup: evening                  Time: 18:30-20:00              Day:                 Teacher:  </t>
  </si>
  <si>
    <t xml:space="preserve">  </t>
  </si>
  <si>
    <t>Grpoup:   morning                 Time:  10:30-12:00              class: 1            Teacher:  Aizat СТАРТ 02,06,2026</t>
  </si>
  <si>
    <t>ГРУППА ЗАКРЫТА</t>
  </si>
  <si>
    <t>Абдулазиз Хабибулаев</t>
  </si>
  <si>
    <t>Акпаралыев Тилек</t>
  </si>
  <si>
    <t>Толонов Абдас</t>
  </si>
  <si>
    <t>Кочконов Нурдоолот</t>
  </si>
  <si>
    <t>Венера</t>
  </si>
  <si>
    <t>Сатыбалдиев Закариё</t>
  </si>
  <si>
    <t>Алимжанова Машхура</t>
  </si>
  <si>
    <t>экзамены до 12 июня</t>
  </si>
  <si>
    <t>Равшанбеков Адилет</t>
  </si>
  <si>
    <t xml:space="preserve">Аматов Майрамбек </t>
  </si>
  <si>
    <t>Турсуналиев Исхак</t>
  </si>
  <si>
    <t>996 550 045 354</t>
  </si>
  <si>
    <t>996 779 076 626 жазгуль мама</t>
  </si>
  <si>
    <t>Зайнарбеков Алинур</t>
  </si>
  <si>
    <t>996 555 819 595</t>
  </si>
  <si>
    <t>996 557 929 595</t>
  </si>
  <si>
    <t>Турдалыев Усон</t>
  </si>
  <si>
    <t>Турдалыев Асан</t>
  </si>
  <si>
    <t>Уметалиев Умар</t>
  </si>
  <si>
    <t>Сатыбалдиев Билал</t>
  </si>
  <si>
    <t>996 503 212 013</t>
  </si>
  <si>
    <t>996 778 842 401</t>
  </si>
  <si>
    <t>Шананов Умар</t>
  </si>
  <si>
    <t>996 700 478 838</t>
  </si>
  <si>
    <t>996 702 265 622</t>
  </si>
  <si>
    <t xml:space="preserve">Айзат 1 класс </t>
  </si>
  <si>
    <t>Grpoup: evening                 Time: 16:30-18:00              class:   1             Teacher:  Aizat СТАРТ 02,06,2026</t>
  </si>
  <si>
    <t>Арсланбеков Бексултан</t>
  </si>
  <si>
    <t>996 552 053 075</t>
  </si>
  <si>
    <t>Сарыбаева Айлун</t>
  </si>
  <si>
    <t>998 091 108</t>
  </si>
  <si>
    <t xml:space="preserve">552 004 242 </t>
  </si>
  <si>
    <t>8 класс</t>
  </si>
  <si>
    <t>Талантов Умар</t>
  </si>
  <si>
    <t>Сабирова Мээрим</t>
  </si>
  <si>
    <t>996 500 055 033</t>
  </si>
  <si>
    <t>мама 996 508 330 302</t>
  </si>
  <si>
    <t>Махмуджанова Дилдора</t>
  </si>
  <si>
    <t>996 779 578 744</t>
  </si>
  <si>
    <t>Махмуджанов Мухаммадюсуф</t>
  </si>
  <si>
    <t>Жакыбалиева Айжан</t>
  </si>
  <si>
    <t>Алымов Бейшен</t>
  </si>
  <si>
    <t xml:space="preserve">996 222 070 215 </t>
  </si>
  <si>
    <t>996 770 451 969</t>
  </si>
  <si>
    <t>Юсупбекова Жанайым</t>
  </si>
  <si>
    <t>996 558 852 010</t>
  </si>
  <si>
    <t>996 553 000 538</t>
  </si>
  <si>
    <t xml:space="preserve">Мустапаев Исламбек </t>
  </si>
  <si>
    <t>0224333506/0220511136</t>
  </si>
  <si>
    <t>Джееналиева Айшат</t>
  </si>
  <si>
    <t xml:space="preserve">бронь не трогать </t>
  </si>
  <si>
    <t>Муртазакова Элина</t>
  </si>
  <si>
    <t xml:space="preserve">эламан </t>
  </si>
  <si>
    <t xml:space="preserve">Асылбеков Акылбек </t>
  </si>
  <si>
    <t xml:space="preserve"> Кудайназар</t>
  </si>
  <si>
    <t>996 707 080 225</t>
  </si>
  <si>
    <t>996 703 755 220</t>
  </si>
  <si>
    <t>Махамаджанова Нускайым</t>
  </si>
  <si>
    <t>Grpoup: evening                 Time: 16:30-18:00              class:   5             Teacher:  Asel СТАРТ 15,06,2026</t>
  </si>
  <si>
    <t>н</t>
  </si>
  <si>
    <t>Турдумаматов Баястан</t>
  </si>
  <si>
    <t>996 507 389 193</t>
  </si>
  <si>
    <t>996 553 521 101</t>
  </si>
  <si>
    <t>14 жаш</t>
  </si>
  <si>
    <t>Жолдошова Гулиза</t>
  </si>
  <si>
    <t>996 225 362 403</t>
  </si>
  <si>
    <t>996 779 508 565</t>
  </si>
  <si>
    <t>Абдрахманова Назбийке</t>
  </si>
  <si>
    <t>996 990 969 492</t>
  </si>
  <si>
    <t>996 773 702 021</t>
  </si>
  <si>
    <t>Анарбаева Бурулай</t>
  </si>
  <si>
    <t>11 жаш</t>
  </si>
  <si>
    <t>назигираак экен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</si>
  <si>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</si>
  <si>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Сулайманова Марям</t>
  </si>
  <si>
    <t>501299990(папа)</t>
  </si>
  <si>
    <t>11th grade</t>
  </si>
  <si>
    <t>Жусупов Даниел</t>
  </si>
  <si>
    <t>705625087(мама)</t>
  </si>
  <si>
    <t>alumni</t>
  </si>
  <si>
    <t>Абдуллдаев Орозбек</t>
  </si>
  <si>
    <t>Арстанбекова Каныкей</t>
  </si>
  <si>
    <t>996 705 398 899</t>
  </si>
  <si>
    <t>996 500 606 585</t>
  </si>
  <si>
    <t xml:space="preserve">Тожимахамтов Улугбек </t>
  </si>
  <si>
    <t>Акматова Санира</t>
  </si>
  <si>
    <t>996 223 531 919</t>
  </si>
  <si>
    <t>996 777 306 595</t>
  </si>
  <si>
    <t>Курманбеков Нурбайэл</t>
  </si>
  <si>
    <t>996 225 775 255</t>
  </si>
  <si>
    <t>996 709 261 000</t>
  </si>
  <si>
    <t xml:space="preserve">Турдалиев Шермамат </t>
  </si>
  <si>
    <t>996 773 543 717</t>
  </si>
  <si>
    <t>996 550 288 333/996 559 738 205</t>
  </si>
  <si>
    <t>Асылзат Абдувалиева</t>
  </si>
  <si>
    <t>996779728531 мамасы</t>
  </si>
  <si>
    <t>Аманиллаева Зулайхо</t>
  </si>
  <si>
    <t>996 552 150 108</t>
  </si>
  <si>
    <t>мама 996 558 130 784</t>
  </si>
  <si>
    <t>Батырбекова Айданек</t>
  </si>
  <si>
    <t>996 507 467 641</t>
  </si>
  <si>
    <t>996 502 941 188 мама</t>
  </si>
  <si>
    <t>:</t>
  </si>
  <si>
    <t>Grpoup:   morning                 Time:  12:30-14:00             class: 4            Teacher:  Ms Nurzhan СТАРТ 29,06,2026</t>
  </si>
  <si>
    <t>Умаралиева Аяна</t>
  </si>
  <si>
    <t>996 223 799 479</t>
  </si>
  <si>
    <t>мама 996 552 004 487</t>
  </si>
  <si>
    <t>Таабалдиева Раяна</t>
  </si>
  <si>
    <t>996 704 114 744</t>
  </si>
  <si>
    <t>996 706 060 781 мама</t>
  </si>
  <si>
    <t xml:space="preserve">Базарбаева Нурайым </t>
  </si>
  <si>
    <t>Тойчуев Хузайфа</t>
  </si>
  <si>
    <t>996 221 230 771</t>
  </si>
  <si>
    <t>996 772 314 874 атасы</t>
  </si>
  <si>
    <t>Абдурахим кызы Наргиза</t>
  </si>
  <si>
    <t>996 552 675 267</t>
  </si>
  <si>
    <t xml:space="preserve">Мырсалиевв Нурэл </t>
  </si>
  <si>
    <t>Асилбекова Альвира</t>
  </si>
  <si>
    <t>996 504 109 504</t>
  </si>
  <si>
    <t>СВОБОДНО</t>
  </si>
  <si>
    <t>Эркинбаев Абдурахман</t>
  </si>
  <si>
    <t>996 999 998 924</t>
  </si>
  <si>
    <t>996 550 821 383 апасы</t>
  </si>
  <si>
    <t>Абылкасымов Арген</t>
  </si>
  <si>
    <t xml:space="preserve">толойт папасы </t>
  </si>
  <si>
    <t xml:space="preserve">алия </t>
  </si>
  <si>
    <t>Асанов Cулайман</t>
  </si>
  <si>
    <t>996 552 001 922</t>
  </si>
  <si>
    <t xml:space="preserve">996708163727 сестра/ 227122786 </t>
  </si>
  <si>
    <t>Кулдашбаев Арсен</t>
  </si>
  <si>
    <t>996 555 011 911</t>
  </si>
  <si>
    <t>996222073705 Айпери эже</t>
  </si>
  <si>
    <t>9класс</t>
  </si>
  <si>
    <t>он новенький сегодня придет</t>
  </si>
  <si>
    <t xml:space="preserve">Осмонова Нурпери </t>
  </si>
  <si>
    <t>АЛИЯ</t>
  </si>
  <si>
    <t>Абдикеримова Муслима</t>
  </si>
  <si>
    <t>996 880 042 011</t>
  </si>
  <si>
    <t>996 704 961 846</t>
  </si>
  <si>
    <t>Абдибилалова Сауле</t>
  </si>
  <si>
    <t>мама 996 220 643 373</t>
  </si>
  <si>
    <t>Айбек кара суу</t>
  </si>
  <si>
    <t>Номериңизди калтырыңыз, биз сиз менен байланышабыз.</t>
  </si>
  <si>
    <t>Айзаттыкы баары отту</t>
  </si>
  <si>
    <t>а</t>
  </si>
  <si>
    <t>Grpoup: morning                 Time:  08:30-10:00             class:   1              Teacher:  Nargiza</t>
  </si>
  <si>
    <t>Айипова Таттыбубу</t>
  </si>
  <si>
    <t>996 502 717 653</t>
  </si>
  <si>
    <t xml:space="preserve">мама 996 708 945 534 </t>
  </si>
  <si>
    <t>Жолдубаев Рашид</t>
  </si>
  <si>
    <t>анжелика</t>
  </si>
  <si>
    <t>Зирекова Фатима</t>
  </si>
  <si>
    <t>Зирекова Хадижа</t>
  </si>
  <si>
    <t xml:space="preserve">Ормонов Бакай </t>
  </si>
  <si>
    <t xml:space="preserve">Абылкасымова Алия </t>
  </si>
  <si>
    <t>Жандарбек карындаш</t>
  </si>
  <si>
    <t>Шукурбеков Мекен</t>
  </si>
  <si>
    <t>996 708 329 143</t>
  </si>
  <si>
    <t>23 года</t>
  </si>
  <si>
    <t>келбейт экен</t>
  </si>
  <si>
    <t>Ормонов Нурболот</t>
  </si>
  <si>
    <t>сентябрда улантат</t>
  </si>
  <si>
    <t>Абдыганыев Эрбол</t>
  </si>
  <si>
    <t>996 779 119 506</t>
  </si>
  <si>
    <t>маа 774 354 074</t>
  </si>
  <si>
    <t>29.05,2026</t>
  </si>
  <si>
    <t>Зирекова Асия</t>
  </si>
  <si>
    <t>996 773 190 179</t>
  </si>
  <si>
    <t>Абдимиталипова Нурмира</t>
  </si>
  <si>
    <t>996 771 804 171</t>
  </si>
  <si>
    <t>996 702817 887</t>
  </si>
  <si>
    <t>вт 20 тыс с берет</t>
  </si>
  <si>
    <t>Мурзабекова Айжаныл</t>
  </si>
  <si>
    <t>996 706 265 703</t>
  </si>
  <si>
    <t>окубай калышы мумкун</t>
  </si>
  <si>
    <t xml:space="preserve">Абдисаматова Адеми </t>
  </si>
  <si>
    <t xml:space="preserve">777785303 мама Жазгуль </t>
  </si>
  <si>
    <t>эргешова Ражабхан</t>
  </si>
  <si>
    <t>Азимов Байэл</t>
  </si>
  <si>
    <t>Grpoup: Evening                Time:  14:30-16:00             class:      2           Teacher:  Nargiza</t>
  </si>
  <si>
    <t>Нуржигит Калдыбаев</t>
  </si>
  <si>
    <t>Ормотоева Сауле</t>
  </si>
  <si>
    <t>0778 103 777 мама</t>
  </si>
  <si>
    <t>Маматбекова Акылай</t>
  </si>
  <si>
    <t>996 552 303 744</t>
  </si>
  <si>
    <t>мама 996 779 601 327</t>
  </si>
  <si>
    <t>8 кл</t>
  </si>
  <si>
    <t>Кубатбекова Зулайха</t>
  </si>
  <si>
    <t xml:space="preserve">Ырысбаева Нурзада </t>
  </si>
  <si>
    <t>996 507 472 059</t>
  </si>
  <si>
    <t>мама 996 501 305 430</t>
  </si>
  <si>
    <t>Камчыбеков Умар</t>
  </si>
  <si>
    <t>996 772256555</t>
  </si>
  <si>
    <t>Турдалиева Амина</t>
  </si>
  <si>
    <t>Алия</t>
  </si>
  <si>
    <t xml:space="preserve">Атакова Арууке </t>
  </si>
  <si>
    <t>776266366/мама</t>
  </si>
  <si>
    <t>Ырысбаева Айдай</t>
  </si>
  <si>
    <t>996 554 355 584</t>
  </si>
  <si>
    <t>Элменетрдин продалжающийне отту</t>
  </si>
  <si>
    <t xml:space="preserve">Абдилбакиева Айнэль </t>
  </si>
  <si>
    <t>августа улантат</t>
  </si>
  <si>
    <t>Истамбеков Арген</t>
  </si>
  <si>
    <t>996 222 090 989</t>
  </si>
  <si>
    <t>Белгисиз</t>
  </si>
  <si>
    <t>Аттокурова Райана</t>
  </si>
  <si>
    <t>996 778 509 860</t>
  </si>
  <si>
    <t>996 772 93 56 30</t>
  </si>
  <si>
    <t xml:space="preserve">Омуров Таймураз </t>
  </si>
  <si>
    <t xml:space="preserve">Зайлидинов Абдышукур </t>
  </si>
  <si>
    <t xml:space="preserve">0500378944 брат </t>
  </si>
  <si>
    <t xml:space="preserve">Allia придет со 3 го июня </t>
  </si>
  <si>
    <t>Маматжан уулу Эржан</t>
  </si>
  <si>
    <t>elementary</t>
  </si>
  <si>
    <t>class 2</t>
  </si>
  <si>
    <t>Ilyaz</t>
  </si>
  <si>
    <t>Алиаскар Кыязбек</t>
  </si>
  <si>
    <t>Grpoup: morning                 Time:  12:30-14:00           class:   5              Teacher:  Asel СТАРТ 15,06,2026</t>
  </si>
  <si>
    <t xml:space="preserve">Абдивалиев Алмаз </t>
  </si>
  <si>
    <t>0559020488 мама</t>
  </si>
  <si>
    <t>айдын аягында калганы</t>
  </si>
  <si>
    <t xml:space="preserve">Абдивалиев Темур </t>
  </si>
  <si>
    <t xml:space="preserve">Абдилсаламов Билал </t>
  </si>
  <si>
    <t>Хайдаров Ансар</t>
  </si>
  <si>
    <t>996 995154577</t>
  </si>
  <si>
    <t>Калыев Эрхан</t>
  </si>
  <si>
    <t>Экиге болуп толойт</t>
  </si>
  <si>
    <t>Июндун акырында 1жолу</t>
  </si>
  <si>
    <t>Шарапов Доолотбек</t>
  </si>
  <si>
    <t>996 999 150 210</t>
  </si>
  <si>
    <t>996 553 435 352 мамасы</t>
  </si>
  <si>
    <t>Алтынбеков Бийхан</t>
  </si>
  <si>
    <t>996 220 070 711</t>
  </si>
  <si>
    <t>996779271271 мамасы</t>
  </si>
  <si>
    <t>Калмаматов Умар</t>
  </si>
  <si>
    <t xml:space="preserve">Alia </t>
  </si>
  <si>
    <t xml:space="preserve">Номанжанов Мухаммадсыдык </t>
  </si>
  <si>
    <t>убакыт туура эмес болтат дейт</t>
  </si>
  <si>
    <t>Uni</t>
  </si>
  <si>
    <t>Асылбекова Жанет</t>
  </si>
  <si>
    <t>мамыр агайдын балдызы</t>
  </si>
  <si>
    <t>Абдураимахунов Исхакбек</t>
  </si>
  <si>
    <t>Шукуруллаев Абдуллах</t>
  </si>
  <si>
    <t>Оморова Мээрим</t>
  </si>
  <si>
    <t>Раева Асема</t>
  </si>
  <si>
    <t>Grpoup: morning                 Time:  08:30-10:00             class:   5              Teacher:  Nurzhan СТАРТ 29,06,2026</t>
  </si>
  <si>
    <t>Осмонова Раяна</t>
  </si>
  <si>
    <t>996 706 303 069</t>
  </si>
  <si>
    <t>996 773 303 069 мама</t>
  </si>
  <si>
    <t xml:space="preserve">Кадырмаматов Алихан </t>
  </si>
  <si>
    <t>Нурмира</t>
  </si>
  <si>
    <t>нуржан</t>
  </si>
  <si>
    <t xml:space="preserve">Сатимаева Сезим </t>
  </si>
  <si>
    <t>Джафари Тоира</t>
  </si>
  <si>
    <t>996 706 078 151</t>
  </si>
  <si>
    <t>996 557 343 420 род</t>
  </si>
  <si>
    <t xml:space="preserve">Алымова Нуржан </t>
  </si>
  <si>
    <t>Камалдинова Элзада</t>
  </si>
  <si>
    <t xml:space="preserve">Абдрасулов Асад </t>
  </si>
  <si>
    <t xml:space="preserve">996554119530 папа </t>
  </si>
  <si>
    <t>Шайлообек к Бумайрам</t>
  </si>
  <si>
    <t>996 550 056 416</t>
  </si>
  <si>
    <t>Пазылжанов Мирлан</t>
  </si>
  <si>
    <t>996 773 842 284</t>
  </si>
  <si>
    <t>Азимов Байел</t>
  </si>
  <si>
    <t>Ормонбекова Айбийке</t>
  </si>
  <si>
    <t>996 221 225 149</t>
  </si>
  <si>
    <t>Эсенова Ясмина</t>
  </si>
  <si>
    <t>996 554 775 528</t>
  </si>
  <si>
    <t>996778432893 атасы</t>
  </si>
  <si>
    <t>мамыр агай</t>
  </si>
  <si>
    <t>?</t>
  </si>
  <si>
    <t xml:space="preserve">Оморбекова Аруке </t>
  </si>
  <si>
    <t xml:space="preserve">79516662934 апасы </t>
  </si>
  <si>
    <t xml:space="preserve">Шакиров Аятулла </t>
  </si>
  <si>
    <t>996 770 286 224</t>
  </si>
  <si>
    <t>996 550 127 277</t>
  </si>
  <si>
    <t>Нуржигит</t>
  </si>
  <si>
    <t>Ормонов Бакай</t>
  </si>
  <si>
    <t>нурислам /</t>
  </si>
  <si>
    <t>бегимай</t>
  </si>
  <si>
    <t>Grpoup: Morning              Time: 10:30-12:00              class:  5              Teacher:  Nurzhan СТАРТ 02,06,2026</t>
  </si>
  <si>
    <t>Бекташова Асема</t>
  </si>
  <si>
    <t>996 779 386 418</t>
  </si>
  <si>
    <t>мама 772 948 885</t>
  </si>
  <si>
    <t>Салижанова Арууке</t>
  </si>
  <si>
    <t>996 507 777 389</t>
  </si>
  <si>
    <t>мама 996 707 303 065\ папа 971 58 539 1182</t>
  </si>
  <si>
    <t xml:space="preserve">Кожотаев Санжар </t>
  </si>
  <si>
    <t>мама 996 509 021 186</t>
  </si>
  <si>
    <t>Келбейт</t>
  </si>
  <si>
    <t>Раяна Сайбидинова</t>
  </si>
  <si>
    <t>996 944 424</t>
  </si>
  <si>
    <t>996 771 008 080 папа</t>
  </si>
  <si>
    <t>Мураталиева Айзада</t>
  </si>
  <si>
    <t>Каныбек кызы Айзирек</t>
  </si>
  <si>
    <t>келбейт</t>
  </si>
  <si>
    <t>Абдираимова  Сымбат</t>
  </si>
  <si>
    <t xml:space="preserve">Сагынбеков Хантемир </t>
  </si>
  <si>
    <t>2 кундо берет</t>
  </si>
  <si>
    <t xml:space="preserve">Аманбаев Бексултан </t>
  </si>
  <si>
    <t>3 кундо берет</t>
  </si>
  <si>
    <t>Мурзакматова Акбийке</t>
  </si>
  <si>
    <t>Билалидинова Арууке</t>
  </si>
  <si>
    <t>Максатбек уулу Исхак</t>
  </si>
  <si>
    <t>Amirev Mukammed</t>
  </si>
  <si>
    <t>Актилекова Айчолпон</t>
  </si>
  <si>
    <t>Кубанычбеков Умар</t>
  </si>
  <si>
    <t>скидка мугалим №27 мектеп</t>
  </si>
  <si>
    <t>Жене</t>
  </si>
  <si>
    <t>Grpoup: Evening                  Time: 14:30-16:00              class:   5              Teacher:  Nurzhan з этаж02,06,2026</t>
  </si>
  <si>
    <t>Каримбекова Азирет</t>
  </si>
  <si>
    <t>Оморова Асема - 81</t>
  </si>
  <si>
    <t>Байжигит- 71</t>
  </si>
  <si>
    <t>Токтосунов Нурислам- 70</t>
  </si>
  <si>
    <t>Муратбеков Сыймык</t>
  </si>
  <si>
    <t>абдыкапаров Байел</t>
  </si>
  <si>
    <t>КЕтти</t>
  </si>
  <si>
    <t>Нурматов Динислам</t>
  </si>
  <si>
    <t>996 551510 661</t>
  </si>
  <si>
    <t>996 559 055 530 мама</t>
  </si>
  <si>
    <t xml:space="preserve">Шайлообекова Муслима </t>
  </si>
  <si>
    <t xml:space="preserve">ALLIA </t>
  </si>
  <si>
    <t>Шананова Уулкыз</t>
  </si>
  <si>
    <t>996 700 280 134</t>
  </si>
  <si>
    <t>мама 996 702 265 622</t>
  </si>
  <si>
    <t xml:space="preserve">Эргешалиева Айсезим </t>
  </si>
  <si>
    <t>996 558 864 500</t>
  </si>
  <si>
    <t>мама 996 770 425 642</t>
  </si>
  <si>
    <t>Абайдуллаев Нурислам</t>
  </si>
  <si>
    <t>10 класс</t>
  </si>
  <si>
    <t>Каримбекова Аэлита</t>
  </si>
  <si>
    <t xml:space="preserve">Маманова айзат </t>
  </si>
  <si>
    <t xml:space="preserve">диана </t>
  </si>
  <si>
    <t>Мамажанов Бексултан</t>
  </si>
  <si>
    <t>996 552 103 753</t>
  </si>
  <si>
    <t>мама 777 771 105</t>
  </si>
  <si>
    <t>Батырбеков Алайбек</t>
  </si>
  <si>
    <t>778247044 mama</t>
  </si>
  <si>
    <t xml:space="preserve"> Байэл келбейт</t>
  </si>
  <si>
    <t>Pre inter</t>
  </si>
  <si>
    <t>15инде башталган</t>
  </si>
  <si>
    <t>class: 2           Grpoup: Evening                  Time:  10:30-12:00    teacher: Ilyaz СТАРТ 15,06,2026</t>
  </si>
  <si>
    <t>Мамирасулов Бекзат</t>
  </si>
  <si>
    <t>Жаныбаев Абай</t>
  </si>
  <si>
    <t>Эргешов Рамазан</t>
  </si>
  <si>
    <t>996778770116 тетя</t>
  </si>
  <si>
    <t xml:space="preserve">Тургунбаев Нурсултан </t>
  </si>
  <si>
    <t xml:space="preserve">allia </t>
  </si>
  <si>
    <t xml:space="preserve">Тургунбаев Нурислам </t>
  </si>
  <si>
    <t>Калыбаев Азамат</t>
  </si>
  <si>
    <t>220790180 сестра</t>
  </si>
  <si>
    <t>Орозбекова Сезим</t>
  </si>
  <si>
    <t xml:space="preserve">Саматова Гульжан </t>
  </si>
  <si>
    <t xml:space="preserve"> Рахманова Махдия </t>
  </si>
  <si>
    <t xml:space="preserve">Турпанова Айдана </t>
  </si>
  <si>
    <t>Жолчуева Байэлина</t>
  </si>
  <si>
    <t>996 999 202 051</t>
  </si>
  <si>
    <t>996 556 770 029</t>
  </si>
  <si>
    <t>Сулайман Эмин</t>
  </si>
  <si>
    <t>996 771 623 838</t>
  </si>
  <si>
    <t>996 772 363 661</t>
  </si>
  <si>
    <t xml:space="preserve">Мамасадыкова Айназик </t>
  </si>
  <si>
    <t>996 999 009 450</t>
  </si>
  <si>
    <t>мама 996 554 352 235</t>
  </si>
  <si>
    <t>Зайирбекова Нагима</t>
  </si>
  <si>
    <t>996 551 555 127</t>
  </si>
  <si>
    <t>Акматов Данияр</t>
  </si>
  <si>
    <t>996 500 442 131</t>
  </si>
  <si>
    <t>996224131354 мамасы</t>
  </si>
  <si>
    <t>Икрамжанов Ихлас</t>
  </si>
  <si>
    <t>996 509 201 147</t>
  </si>
  <si>
    <t>папа 996 503 729 955</t>
  </si>
  <si>
    <t>Бизде без наличный расчет</t>
  </si>
  <si>
    <t xml:space="preserve">9 класс / </t>
  </si>
  <si>
    <t>Grpoup: morning                 Time:  14:30-16:00             class:   4              Teacher:  Ilyaz СТАРТ 29,06,2026</t>
  </si>
  <si>
    <t>Ахмадова Айзирек</t>
  </si>
  <si>
    <t>996 226 194 897</t>
  </si>
  <si>
    <t>996 226 154 434 сестра</t>
  </si>
  <si>
    <t>Толонбаева Нурайым</t>
  </si>
  <si>
    <t>996 559 021 525</t>
  </si>
  <si>
    <t>996 551 021 525</t>
  </si>
  <si>
    <t>Мамажалил у Белек</t>
  </si>
  <si>
    <t>966 56 077 8781</t>
  </si>
  <si>
    <t>Жыргалбеков Алманбет</t>
  </si>
  <si>
    <t>996 509 254 008</t>
  </si>
  <si>
    <t>Айсезим</t>
  </si>
  <si>
    <t>Калыкова Адина</t>
  </si>
  <si>
    <t>Ганиева Баяна</t>
  </si>
  <si>
    <t>Алманбет</t>
  </si>
  <si>
    <t>Нематова Айгерим</t>
  </si>
  <si>
    <t>Ахматов Мейкин</t>
  </si>
  <si>
    <t xml:space="preserve">Абдиталип </t>
  </si>
  <si>
    <t>773062880 brother</t>
  </si>
  <si>
    <t>Базарова Кумушай</t>
  </si>
  <si>
    <t>996 770 303 609</t>
  </si>
  <si>
    <t>7 925 945 41 57</t>
  </si>
  <si>
    <t>Анарбаева Алтынай</t>
  </si>
  <si>
    <t>996 774 100 810</t>
  </si>
  <si>
    <t>996 773 631 450</t>
  </si>
  <si>
    <t>юни</t>
  </si>
  <si>
    <t xml:space="preserve">Нейматов Исхак </t>
  </si>
  <si>
    <t>Аскаралиев Алихан</t>
  </si>
  <si>
    <t>996 550 328 272</t>
  </si>
  <si>
    <t>папа 79911289841</t>
  </si>
  <si>
    <t>Эркинов Абдумалик</t>
  </si>
  <si>
    <t>996 997 012 501</t>
  </si>
  <si>
    <t>папа 996 779 165 416</t>
  </si>
  <si>
    <t>2 класс</t>
  </si>
  <si>
    <t>Grpoup: Morning            Time:  08:30-10:30             class:  4               Teacher:  Yan 2 этаж</t>
  </si>
  <si>
    <t>Каримов Камрон</t>
  </si>
  <si>
    <t>Айдаралиев Эмил</t>
  </si>
  <si>
    <t>Эридан Джолдубаев</t>
  </si>
  <si>
    <t>996 559 979 723</t>
  </si>
  <si>
    <t>мама 996 551 343 238</t>
  </si>
  <si>
    <t xml:space="preserve">Асланбеков Абай </t>
  </si>
  <si>
    <t>Максудов асад</t>
  </si>
  <si>
    <t>Асатуллаева Захро</t>
  </si>
  <si>
    <t>996 706 078 896</t>
  </si>
  <si>
    <t>мама 996 552 250 334</t>
  </si>
  <si>
    <t>Чалиева Элиза</t>
  </si>
  <si>
    <t>996 703 32 08 08</t>
  </si>
  <si>
    <t>мама 996 706 32 08 08</t>
  </si>
  <si>
    <t>Чалиева Гулиза</t>
  </si>
  <si>
    <t>996 503 32 08 08</t>
  </si>
  <si>
    <t>Маматжанова Арууке</t>
  </si>
  <si>
    <t xml:space="preserve">Насимов Салахидин </t>
  </si>
  <si>
    <t xml:space="preserve">Мурзабекова Асема </t>
  </si>
  <si>
    <t xml:space="preserve">11 класс закончила </t>
  </si>
  <si>
    <t>Бахтияров Ислам</t>
  </si>
  <si>
    <t xml:space="preserve">Актилек Абдраев </t>
  </si>
  <si>
    <t xml:space="preserve">10 класс </t>
  </si>
  <si>
    <t xml:space="preserve">Ирисмаматова Назбийке </t>
  </si>
  <si>
    <t>Grpoup: evening                  Time:  16:30-18:00             class:  4              Teacher:  Yan 2 этаж</t>
  </si>
  <si>
    <t>Казыбекова Мадина</t>
  </si>
  <si>
    <t>9 класс</t>
  </si>
  <si>
    <t>не отвечат</t>
  </si>
  <si>
    <t>саат 14:00</t>
  </si>
  <si>
    <t xml:space="preserve">Ыдырысова Раяна </t>
  </si>
  <si>
    <t>Закиров Артур</t>
  </si>
  <si>
    <t>996 770 315 686</t>
  </si>
  <si>
    <t>996 773 255 899</t>
  </si>
  <si>
    <t>Казбекова Айгерим</t>
  </si>
  <si>
    <t>996 504 749 777</t>
  </si>
  <si>
    <t xml:space="preserve">Сабирова Малика </t>
  </si>
  <si>
    <t>996 501 745 175</t>
  </si>
  <si>
    <t>Адамжанов Сыймык —</t>
  </si>
  <si>
    <t xml:space="preserve">Алтынбекова Мээрим — </t>
  </si>
  <si>
    <t>Бекболотова Гулмира —</t>
  </si>
  <si>
    <t xml:space="preserve">Джумалиева Асылзат — </t>
  </si>
  <si>
    <t xml:space="preserve">Райымбаева Аймира — </t>
  </si>
  <si>
    <t>Умаралиев Акназар —</t>
  </si>
  <si>
    <t xml:space="preserve">Маматзаитов Эмирхан </t>
  </si>
  <si>
    <t xml:space="preserve">арууке </t>
  </si>
  <si>
    <t xml:space="preserve">Ботоева Жасмин </t>
  </si>
  <si>
    <t>Акмарал Арапбаева</t>
  </si>
  <si>
    <t>996 705 710 777</t>
  </si>
  <si>
    <t>502 890 908</t>
  </si>
  <si>
    <t>Зулейха</t>
  </si>
  <si>
    <t xml:space="preserve">матамов Абдумалик </t>
  </si>
  <si>
    <t xml:space="preserve">upper </t>
  </si>
  <si>
    <t>yan</t>
  </si>
  <si>
    <t>inter</t>
  </si>
  <si>
    <t>Сатвалдиев Мухаммадусмон</t>
  </si>
  <si>
    <t>интер</t>
  </si>
  <si>
    <t xml:space="preserve">айдай </t>
  </si>
  <si>
    <t xml:space="preserve">интер </t>
  </si>
  <si>
    <t>Шагынбеков кантемир</t>
  </si>
  <si>
    <t>Аманбаев бексултан</t>
  </si>
  <si>
    <t>Grpoup: evening                  Time:  12:30-14:00             class:  1              Teacher:  Ms Madina</t>
  </si>
  <si>
    <t>06.006.2026</t>
  </si>
  <si>
    <t>Умар Курбанов</t>
  </si>
  <si>
    <t>Даминов Барсбек</t>
  </si>
  <si>
    <t xml:space="preserve">Султанова айдай </t>
  </si>
  <si>
    <t>Ырысмаматова Каныкей</t>
  </si>
  <si>
    <t xml:space="preserve">Эргешбаева Арууке </t>
  </si>
  <si>
    <t xml:space="preserve">учится у мистера йан </t>
  </si>
  <si>
    <t xml:space="preserve">Сауле Максатбекова </t>
  </si>
  <si>
    <t xml:space="preserve">Ибрагимова Айтолкун </t>
  </si>
  <si>
    <t xml:space="preserve">Эламан </t>
  </si>
  <si>
    <t>Жакыпова Айсулуу</t>
  </si>
  <si>
    <t>996 550 651 465</t>
  </si>
  <si>
    <t>сертификат есть 1000с</t>
  </si>
  <si>
    <t xml:space="preserve">Кубанычбеков Аманбек </t>
  </si>
  <si>
    <t>Акбаралиев Тимур</t>
  </si>
  <si>
    <t>996 550 077 668</t>
  </si>
  <si>
    <t>Тургунбеков Барсбек</t>
  </si>
  <si>
    <t>996 708 042 673</t>
  </si>
  <si>
    <t>мама 996 773 678 678</t>
  </si>
  <si>
    <t>возврат 4000 сом конце месяца</t>
  </si>
  <si>
    <t xml:space="preserve">Кубатов Денис </t>
  </si>
  <si>
    <t>Баймырзаев Мырзабек</t>
  </si>
  <si>
    <t>996 559 515 220</t>
  </si>
  <si>
    <t>мама 996 558 836 319</t>
  </si>
  <si>
    <t>Токтогонова Саадат</t>
  </si>
  <si>
    <t>996 505 985 200</t>
  </si>
  <si>
    <t>996 778 375 404</t>
  </si>
  <si>
    <t>10% скидка школа аалам</t>
  </si>
  <si>
    <t xml:space="preserve">Омуралиева Дильнура </t>
  </si>
  <si>
    <t>Абдигапаров Нурислам</t>
  </si>
  <si>
    <t>996 221 058 745</t>
  </si>
  <si>
    <t>июлда баштала турган группага</t>
  </si>
  <si>
    <t>Шукуров Мыктыбек</t>
  </si>
  <si>
    <t>Мурадилов Салохиддин</t>
  </si>
  <si>
    <t>996 558 461 421</t>
  </si>
  <si>
    <t>скидка 20%</t>
  </si>
  <si>
    <t>29,063,2026</t>
  </si>
  <si>
    <t xml:space="preserve">Имран </t>
  </si>
  <si>
    <t xml:space="preserve">Grpoup: Bedinner    Time: 14:00 - 15:40               Day:                 Teacher:  </t>
  </si>
  <si>
    <t>Садыков Азирет</t>
  </si>
  <si>
    <t>553 276 606</t>
  </si>
  <si>
    <t>552 100 872</t>
  </si>
  <si>
    <t>июндан баштап келет, индивидуалка</t>
  </si>
  <si>
    <t>Мухаммаджанов Мирхамза</t>
  </si>
  <si>
    <t>Ирисмаматов Атамбек</t>
  </si>
  <si>
    <t>996 990 693 909</t>
  </si>
  <si>
    <t>дильнура / шinter</t>
  </si>
  <si>
    <t xml:space="preserve">Grpoup: Elementary                  Time:               Day:                 Teacher:  </t>
  </si>
  <si>
    <t xml:space="preserve">Grpoup: Pre-Inter                  Time:               Day:                 Teacher:  </t>
  </si>
  <si>
    <t xml:space="preserve">Grpoup: Inter                  Time:               Day:                 Teacher:  </t>
  </si>
  <si>
    <t xml:space="preserve">Grpoup: Upper                  Time:               Day:                 Teacher:  </t>
  </si>
  <si>
    <t xml:space="preserve">Казакбаев Абдурахман </t>
  </si>
  <si>
    <t xml:space="preserve">Сайдалимов Абубакир </t>
  </si>
  <si>
    <t xml:space="preserve">Grpoup: ielts                  Time:               Day:                 Teacher:  </t>
  </si>
  <si>
    <t>Столбец 1</t>
  </si>
  <si>
    <t>Количество групп</t>
  </si>
  <si>
    <t>Общее кол-во учеников</t>
  </si>
  <si>
    <t>Общая выручка (K)</t>
  </si>
  <si>
    <t>Beginner</t>
  </si>
  <si>
    <t>Elementary</t>
  </si>
  <si>
    <t>Pre-Inter</t>
  </si>
  <si>
    <t>Inter</t>
  </si>
  <si>
    <t>Upper</t>
  </si>
  <si>
    <t>IEltS</t>
  </si>
  <si>
    <t>Таникулов Абдурахим Бекмаматович</t>
  </si>
  <si>
    <t>Парманов</t>
  </si>
  <si>
    <t>Сегизбаева Айбийке</t>
  </si>
  <si>
    <t>Аалам</t>
  </si>
  <si>
    <t>???</t>
  </si>
  <si>
    <t>997 704 841 784</t>
  </si>
  <si>
    <t>997 771 108 083</t>
  </si>
  <si>
    <t>Grpoup: evening                 Time: 14:30-16:00              class:   1             Teacher:  Aizat пн ср пт</t>
  </si>
  <si>
    <t>Эркинбаев Нурислам</t>
  </si>
  <si>
    <t>996550789972 996555837938</t>
  </si>
  <si>
    <t>Джураева Сумая</t>
  </si>
  <si>
    <t>996 774 078 598</t>
  </si>
  <si>
    <t>996 556 850 017</t>
  </si>
  <si>
    <t xml:space="preserve">тимур </t>
  </si>
  <si>
    <t xml:space="preserve">алмаз </t>
  </si>
  <si>
    <t>Жумекова Акмаанай</t>
  </si>
  <si>
    <t>996 553 039 533</t>
  </si>
  <si>
    <t xml:space="preserve">996 771 624 091 </t>
  </si>
  <si>
    <t xml:space="preserve">Абакирова Сезим </t>
  </si>
  <si>
    <t xml:space="preserve">Айжан Ашимова </t>
  </si>
  <si>
    <t>996 707 337 037</t>
  </si>
  <si>
    <t>Жамилбаева Алина</t>
  </si>
  <si>
    <t>Жамилбаев Сулайман</t>
  </si>
  <si>
    <t>раяна</t>
  </si>
  <si>
    <t>Рахима</t>
  </si>
  <si>
    <t>2 этаж Айзирек</t>
  </si>
  <si>
    <t xml:space="preserve">возврат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</si>
</sst>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,mm,yyyy"/>
    <numFmt numFmtId="165" formatCode="dd.mm.yyyy"/>
    <numFmt numFmtId="166" formatCode="d.m.yyyy"/>
    <numFmt numFmtId="167" formatCode="d,m,yyyy"/>
    <numFmt numFmtId="168" formatCode="[$р.-419]#,##0.00"/>
    <numFmt numFmtId="169" formatCode="dd,mm,yy"/>
  </numFmts>
  <fonts count="62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4.0"/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4.0"/>
      <color rgb="FF000000"/>
      <name val="Arial"/>
    </font>
    <font>
      <sz val="14.0"/>
      <color rgb="FF000000"/>
      <name val="Arial"/>
      <scheme val="minor"/>
    </font>
    <font>
      <sz val="14.0"/>
      <color rgb="FF434343"/>
      <name val="Arial"/>
    </font>
    <font>
      <sz val="14.0"/>
      <color rgb="FF434343"/>
      <name val="Arial"/>
      <scheme val="minor"/>
    </font>
    <font>
      <sz val="13.0"/>
      <color theme="1"/>
      <name val="Arial"/>
    </font>
    <font>
      <sz val="15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</font>
    <font>
      <sz val="15.0"/>
      <color theme="1"/>
      <name val="Arial"/>
      <scheme val="minor"/>
    </font>
    <font>
      <sz val="15.0"/>
      <color rgb="FF000000"/>
      <name val="Inherit"/>
    </font>
    <font>
      <sz val="12.0"/>
      <color theme="1"/>
      <name val="Arial"/>
    </font>
    <font>
      <sz val="14.0"/>
      <color rgb="FF000000"/>
      <name val="Nunito"/>
    </font>
    <font>
      <b/>
      <sz val="12.0"/>
      <color rgb="FF323A46"/>
      <name val="Nunito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b/>
      <sz val="9.0"/>
      <color theme="1"/>
      <name val="Arial"/>
      <scheme val="minor"/>
    </font>
    <font>
      <color rgb="FF1F1F1F"/>
      <name val="&quot;Google Sans Text&quot;"/>
    </font>
    <font>
      <sz val="12.0"/>
      <color rgb="FF323A46"/>
      <name val="Nunito"/>
    </font>
    <font>
      <sz val="11.0"/>
      <color rgb="FF323A46"/>
      <name val="Nunito"/>
    </font>
    <font>
      <sz val="11.0"/>
      <color theme="1"/>
      <name val="Nunito"/>
    </font>
    <font>
      <color theme="1"/>
      <name val="Nunito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Inherit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  <scheme val="minor"/>
    </font>
    <font>
      <sz val="10.0"/>
      <color rgb="FF1F1F1F"/>
      <name val="&quot;Google Sans Text&quot;"/>
    </font>
    <font>
      <sz val="11.0"/>
      <color rgb="FF363B44"/>
      <name val="Arial"/>
    </font>
    <font>
      <b/>
      <sz val="10.0"/>
      <color rgb="FF1F1F1F"/>
      <name val="&quot;Google Sans Text&quot;"/>
    </font>
    <font>
      <b/>
      <color rgb="FF1F1F1F"/>
      <name val="&quot;Google Sans Text&quot;"/>
    </font>
    <font>
      <b/>
      <sz val="10.0"/>
      <color rgb="FF1F1F1F"/>
      <name val="Arial"/>
    </font>
    <font>
      <sz val="10.0"/>
      <color rgb="FF000000"/>
      <name val="Roboto"/>
    </font>
    <font>
      <b/>
      <sz val="10.0"/>
      <color rgb="FF323A46"/>
      <name val="Nunito"/>
    </font>
    <font>
      <b/>
      <sz val="10.0"/>
      <color rgb="FF1F1F1F"/>
      <name val="Google Sans Text"/>
    </font>
    <font>
      <color rgb="FF9900FF"/>
      <name val="Arial"/>
      <scheme val="minor"/>
    </font>
    <font>
      <sz val="10.0"/>
      <color rgb="FF323A46"/>
      <name val="Arial"/>
    </font>
    <font>
      <sz val="10.0"/>
      <color rgb="FF363B44"/>
      <name val="&quot;PT Sans&quot;"/>
    </font>
    <font>
      <color rgb="FF000000"/>
      <name val="Inherit"/>
    </font>
    <font>
      <sz val="13.0"/>
      <color theme="1"/>
      <name val="Arial"/>
      <scheme val="minor"/>
    </font>
    <font>
      <sz val="10.0"/>
      <color rgb="FF323A46"/>
      <name val="Nunito"/>
    </font>
    <font>
      <sz val="10.0"/>
      <color rgb="FF32418A"/>
      <name val="Inherit"/>
    </font>
    <font>
      <sz val="10.0"/>
      <color rgb="FF1F1F1F"/>
      <name val="Arial"/>
    </font>
    <font>
      <sz val="10.0"/>
      <color rgb="FF32418A"/>
      <name val="Nunito"/>
    </font>
    <font>
      <sz val="10.0"/>
      <color rgb="FF000000"/>
      <name val="Nunito"/>
    </font>
    <font>
      <b/>
      <sz val="10.0"/>
      <color theme="1"/>
      <name val="Arial"/>
    </font>
    <font>
      <b/>
      <sz val="13.0"/>
      <color theme="1"/>
      <name val="Arial"/>
    </font>
    <font>
      <b/>
      <sz val="17.0"/>
      <color theme="1"/>
      <name val="Arial"/>
    </font>
    <font>
      <b/>
      <sz val="9.0"/>
      <color theme="1"/>
      <name val="Arial"/>
    </font>
    <font>
      <sz val="9.0"/>
      <color rgb="FF444746"/>
      <name val="&quot;Google Sans Mono&quot;"/>
    </font>
    <font>
      <sz val="11.0"/>
      <color theme="1"/>
      <name val="Arial"/>
    </font>
    <font>
      <sz val="11.0"/>
      <color rgb="FF363B44"/>
      <name val="&quot;PT Sans&quot;"/>
    </font>
    <font>
      <sz val="12.0"/>
      <color rgb="FF323A46"/>
      <name val="Arial"/>
    </font>
    <font>
      <color rgb="FF000000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EEF2F7"/>
        <bgColor rgb="FFEEF2F7"/>
      </patternFill>
    </fill>
    <fill>
      <patternFill patternType="solid">
        <fgColor rgb="FF0000FF"/>
        <bgColor rgb="FF0000FF"/>
      </patternFill>
    </fill>
    <fill>
      <patternFill patternType="solid">
        <fgColor rgb="FFF5F5F5"/>
        <bgColor rgb="FFF5F5F5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DDE3EA"/>
        <bgColor rgb="FFDDE3EA"/>
      </patternFill>
    </fill>
  </fills>
  <borders count="3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vertical="bottom"/>
    </xf>
    <xf borderId="4" fillId="4" fontId="1" numFmtId="0" xfId="0" applyAlignment="1" applyBorder="1" applyFont="1">
      <alignment horizontal="center" shrinkToFit="0" vertical="bottom" wrapText="1"/>
    </xf>
    <xf borderId="4" fillId="5" fontId="1" numFmtId="0" xfId="0" applyAlignment="1" applyBorder="1" applyFill="1" applyFont="1">
      <alignment horizontal="center" readingOrder="0" vertical="bottom"/>
    </xf>
    <xf borderId="4" fillId="6" fontId="4" numFmtId="0" xfId="0" applyAlignment="1" applyBorder="1" applyFill="1" applyFont="1">
      <alignment horizontal="center" vertical="bottom"/>
    </xf>
    <xf borderId="4" fillId="6" fontId="4" numFmtId="0" xfId="0" applyAlignment="1" applyBorder="1" applyFont="1">
      <alignment horizontal="center" readingOrder="0" vertical="bottom"/>
    </xf>
    <xf borderId="4" fillId="7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 readingOrder="0" vertical="bottom"/>
    </xf>
    <xf borderId="4" fillId="5" fontId="4" numFmtId="164" xfId="0" applyAlignment="1" applyBorder="1" applyFont="1" applyNumberFormat="1">
      <alignment horizontal="center" vertical="bottom"/>
    </xf>
    <xf borderId="4" fillId="3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8" fontId="4" numFmtId="0" xfId="0" applyAlignment="1" applyBorder="1" applyFill="1" applyFont="1">
      <alignment horizontal="center" readingOrder="0" vertical="bottom"/>
    </xf>
    <xf borderId="4" fillId="8" fontId="4" numFmtId="164" xfId="0" applyAlignment="1" applyBorder="1" applyFont="1" applyNumberFormat="1">
      <alignment horizontal="center" readingOrder="0" vertical="bottom"/>
    </xf>
    <xf borderId="4" fillId="8" fontId="5" numFmtId="0" xfId="0" applyAlignment="1" applyBorder="1" applyFont="1">
      <alignment horizontal="center" vertical="bottom"/>
    </xf>
    <xf borderId="4" fillId="5" fontId="4" numFmtId="165" xfId="0" applyAlignment="1" applyBorder="1" applyFont="1" applyNumberFormat="1">
      <alignment horizontal="center" readingOrder="0"/>
    </xf>
    <xf borderId="4" fillId="5" fontId="4" numFmtId="0" xfId="0" applyAlignment="1" applyBorder="1" applyFont="1">
      <alignment horizontal="center" readingOrder="0"/>
    </xf>
    <xf borderId="4" fillId="9" fontId="4" numFmtId="0" xfId="0" applyAlignment="1" applyBorder="1" applyFill="1" applyFont="1">
      <alignment horizontal="center" readingOrder="0"/>
    </xf>
    <xf borderId="4" fillId="10" fontId="4" numFmtId="0" xfId="0" applyAlignment="1" applyBorder="1" applyFill="1" applyFont="1">
      <alignment horizontal="center" readingOrder="0"/>
    </xf>
    <xf borderId="4" fillId="11" fontId="4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horizontal="center" readingOrder="0"/>
    </xf>
    <xf borderId="4" fillId="5" fontId="4" numFmtId="164" xfId="0" applyAlignment="1" applyBorder="1" applyFont="1" applyNumberFormat="1">
      <alignment horizontal="center" readingOrder="0" vertical="bottom"/>
    </xf>
    <xf borderId="4" fillId="12" fontId="4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4" fillId="13" fontId="4" numFmtId="0" xfId="0" applyAlignment="1" applyBorder="1" applyFill="1" applyFont="1">
      <alignment horizontal="center" readingOrder="0"/>
    </xf>
    <xf borderId="0" fillId="3" fontId="6" numFmtId="0" xfId="0" applyFont="1"/>
    <xf borderId="4" fillId="5" fontId="7" numFmtId="0" xfId="0" applyAlignment="1" applyBorder="1" applyFont="1">
      <alignment horizontal="center" readingOrder="0" vertical="bottom"/>
    </xf>
    <xf borderId="4" fillId="5" fontId="7" numFmtId="164" xfId="0" applyAlignment="1" applyBorder="1" applyFont="1" applyNumberForma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center" vertical="bottom"/>
    </xf>
    <xf borderId="4" fillId="5" fontId="8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vertical="bottom"/>
    </xf>
    <xf borderId="4" fillId="8" fontId="9" numFmtId="0" xfId="0" applyAlignment="1" applyBorder="1" applyFont="1">
      <alignment horizontal="center" readingOrder="0"/>
    </xf>
    <xf borderId="4" fillId="14" fontId="8" numFmtId="0" xfId="0" applyAlignment="1" applyBorder="1" applyFill="1" applyFont="1">
      <alignment horizontal="center" readingOrder="0"/>
    </xf>
    <xf borderId="4" fillId="5" fontId="8" numFmtId="164" xfId="0" applyAlignment="1" applyBorder="1" applyFont="1" applyNumberFormat="1">
      <alignment horizontal="center" readingOrder="0"/>
    </xf>
    <xf borderId="4" fillId="3" fontId="8" numFmtId="0" xfId="0" applyAlignment="1" applyBorder="1" applyFont="1">
      <alignment horizontal="center" readingOrder="0"/>
    </xf>
    <xf borderId="4" fillId="5" fontId="8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 vertical="bottom"/>
    </xf>
    <xf borderId="6" fillId="0" fontId="2" numFmtId="0" xfId="0" applyBorder="1" applyFont="1"/>
    <xf borderId="7" fillId="0" fontId="2" numFmtId="0" xfId="0" applyBorder="1" applyFont="1"/>
    <xf borderId="4" fillId="4" fontId="1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shrinkToFit="0" vertical="bottom" wrapText="1"/>
    </xf>
    <xf borderId="4" fillId="6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/>
    </xf>
    <xf borderId="0" fillId="5" fontId="11" numFmtId="0" xfId="0" applyAlignment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vertical="bottom"/>
    </xf>
    <xf borderId="4" fillId="9" fontId="3" numFmtId="0" xfId="0" applyAlignment="1" applyBorder="1" applyFont="1">
      <alignment horizontal="center"/>
    </xf>
    <xf borderId="0" fillId="9" fontId="6" numFmtId="0" xfId="0" applyFont="1"/>
    <xf borderId="4" fillId="9" fontId="4" numFmtId="165" xfId="0" applyAlignment="1" applyBorder="1" applyFont="1" applyNumberFormat="1">
      <alignment horizontal="center" readingOrder="0"/>
    </xf>
    <xf borderId="4" fillId="9" fontId="4" numFmtId="0" xfId="0" applyAlignment="1" applyBorder="1" applyFont="1">
      <alignment horizontal="center" readingOrder="0" vertical="bottom"/>
    </xf>
    <xf borderId="4" fillId="8" fontId="4" numFmtId="0" xfId="0" applyAlignment="1" applyBorder="1" applyFont="1">
      <alignment horizontal="center" readingOrder="0"/>
    </xf>
    <xf borderId="4" fillId="15" fontId="3" numFmtId="0" xfId="0" applyAlignment="1" applyBorder="1" applyFill="1" applyFont="1">
      <alignment horizontal="center" readingOrder="0"/>
    </xf>
    <xf borderId="4" fillId="12" fontId="3" numFmtId="0" xfId="0" applyAlignment="1" applyBorder="1" applyFont="1">
      <alignment horizontal="center" readingOrder="0"/>
    </xf>
    <xf borderId="4" fillId="9" fontId="3" numFmtId="0" xfId="0" applyAlignment="1" applyBorder="1" applyFont="1">
      <alignment horizontal="center" readingOrder="0"/>
    </xf>
    <xf borderId="4" fillId="13" fontId="3" numFmtId="0" xfId="0" applyAlignment="1" applyBorder="1" applyFont="1">
      <alignment horizontal="center" readingOrder="0"/>
    </xf>
    <xf borderId="4" fillId="9" fontId="4" numFmtId="164" xfId="0" applyAlignment="1" applyBorder="1" applyFont="1" applyNumberFormat="1">
      <alignment horizontal="center" readingOrder="0" vertical="bottom"/>
    </xf>
    <xf borderId="4" fillId="9" fontId="12" numFmtId="0" xfId="0" applyAlignment="1" applyBorder="1" applyFont="1">
      <alignment horizontal="center" readingOrder="0"/>
    </xf>
    <xf borderId="4" fillId="16" fontId="4" numFmtId="0" xfId="0" applyAlignment="1" applyBorder="1" applyFill="1" applyFont="1">
      <alignment horizontal="center" readingOrder="0" vertical="bottom"/>
    </xf>
    <xf borderId="4" fillId="16" fontId="4" numFmtId="0" xfId="0" applyAlignment="1" applyBorder="1" applyFont="1">
      <alignment horizontal="center" vertical="bottom"/>
    </xf>
    <xf borderId="4" fillId="16" fontId="3" numFmtId="0" xfId="0" applyAlignment="1" applyBorder="1" applyFont="1">
      <alignment horizontal="center"/>
    </xf>
    <xf borderId="4" fillId="16" fontId="3" numFmtId="0" xfId="0" applyAlignment="1" applyBorder="1" applyFont="1">
      <alignment horizontal="center" readingOrder="0"/>
    </xf>
    <xf borderId="0" fillId="16" fontId="6" numFmtId="0" xfId="0" applyAlignment="1" applyFont="1">
      <alignment readingOrder="0"/>
    </xf>
    <xf borderId="0" fillId="16" fontId="6" numFmtId="0" xfId="0" applyFont="1"/>
    <xf borderId="4" fillId="5" fontId="4" numFmtId="165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5" fillId="17" fontId="1" numFmtId="0" xfId="0" applyAlignment="1" applyBorder="1" applyFill="1" applyFont="1">
      <alignment horizontal="center" readingOrder="0" vertical="bottom"/>
    </xf>
    <xf borderId="4" fillId="5" fontId="11" numFmtId="0" xfId="0" applyAlignment="1" applyBorder="1" applyFont="1">
      <alignment horizontal="center" readingOrder="0" vertical="bottom"/>
    </xf>
    <xf borderId="4" fillId="18" fontId="11" numFmtId="0" xfId="0" applyAlignment="1" applyBorder="1" applyFill="1" applyFont="1">
      <alignment horizontal="center" readingOrder="0" vertical="bottom"/>
    </xf>
    <xf borderId="4" fillId="19" fontId="4" numFmtId="0" xfId="0" applyAlignment="1" applyBorder="1" applyFill="1" applyFont="1">
      <alignment horizontal="center" readingOrder="0" vertical="bottom"/>
    </xf>
    <xf borderId="4" fillId="5" fontId="4" numFmtId="165" xfId="0" applyAlignment="1" applyBorder="1" applyFont="1" applyNumberFormat="1">
      <alignment readingOrder="0" vertical="bottom"/>
    </xf>
    <xf borderId="4" fillId="3" fontId="4" numFmtId="0" xfId="0" applyAlignment="1" applyBorder="1" applyFont="1">
      <alignment readingOrder="0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3" numFmtId="0" xfId="0" applyFont="1"/>
    <xf borderId="5" fillId="3" fontId="1" numFmtId="0" xfId="0" applyAlignment="1" applyBorder="1" applyFont="1">
      <alignment horizontal="center" readingOrder="0" vertical="bottom"/>
    </xf>
    <xf borderId="4" fillId="3" fontId="13" numFmtId="0" xfId="0" applyAlignment="1" applyBorder="1" applyFont="1">
      <alignment horizontal="center" readingOrder="0"/>
    </xf>
    <xf borderId="4" fillId="20" fontId="1" numFmtId="0" xfId="0" applyAlignment="1" applyBorder="1" applyFill="1" applyFont="1">
      <alignment horizontal="center" readingOrder="0" vertical="bottom"/>
    </xf>
    <xf borderId="4" fillId="8" fontId="3" numFmtId="0" xfId="0" applyAlignment="1" applyBorder="1" applyFont="1">
      <alignment horizontal="center" readingOrder="0"/>
    </xf>
    <xf borderId="4" fillId="5" fontId="5" numFmtId="0" xfId="0" applyAlignment="1" applyBorder="1" applyFont="1">
      <alignment horizontal="center" readingOrder="0" vertical="bottom"/>
    </xf>
    <xf borderId="4" fillId="5" fontId="14" numFmtId="0" xfId="0" applyAlignment="1" applyBorder="1" applyFont="1">
      <alignment horizontal="center" readingOrder="0"/>
    </xf>
    <xf borderId="0" fillId="20" fontId="13" numFmtId="0" xfId="0" applyAlignment="1" applyFont="1">
      <alignment horizontal="center" readingOrder="0"/>
    </xf>
    <xf borderId="4" fillId="21" fontId="4" numFmtId="0" xfId="0" applyAlignment="1" applyBorder="1" applyFill="1" applyFont="1">
      <alignment horizontal="center" readingOrder="0" vertical="bottom"/>
    </xf>
    <xf borderId="4" fillId="21" fontId="4" numFmtId="164" xfId="0" applyAlignment="1" applyBorder="1" applyFont="1" applyNumberFormat="1">
      <alignment horizontal="center" readingOrder="0" vertical="bottom"/>
    </xf>
    <xf borderId="4" fillId="21" fontId="1" numFmtId="0" xfId="0" applyAlignment="1" applyBorder="1" applyFont="1">
      <alignment horizontal="center" readingOrder="0" vertical="bottom"/>
    </xf>
    <xf borderId="4" fillId="21" fontId="4" numFmtId="0" xfId="0" applyAlignment="1" applyBorder="1" applyFont="1">
      <alignment horizontal="center" vertical="bottom"/>
    </xf>
    <xf borderId="4" fillId="21" fontId="3" numFmtId="0" xfId="0" applyAlignment="1" applyBorder="1" applyFont="1">
      <alignment horizontal="center"/>
    </xf>
    <xf borderId="4" fillId="21" fontId="3" numFmtId="0" xfId="0" applyAlignment="1" applyBorder="1" applyFont="1">
      <alignment horizontal="center" readingOrder="0"/>
    </xf>
    <xf borderId="0" fillId="21" fontId="6" numFmtId="0" xfId="0" applyFont="1"/>
    <xf borderId="4" fillId="5" fontId="3" numFmtId="164" xfId="0" applyAlignment="1" applyBorder="1" applyFont="1" applyNumberFormat="1">
      <alignment horizontal="center" readingOrder="0"/>
    </xf>
    <xf borderId="4" fillId="5" fontId="3" numFmtId="0" xfId="0" applyAlignment="1" applyBorder="1" applyFont="1">
      <alignment readingOrder="0"/>
    </xf>
    <xf borderId="4" fillId="5" fontId="3" numFmtId="0" xfId="0" applyBorder="1" applyFont="1"/>
    <xf borderId="0" fillId="0" fontId="3" numFmtId="0" xfId="0" applyAlignment="1" applyFont="1">
      <alignment readingOrder="0"/>
    </xf>
    <xf borderId="4" fillId="9" fontId="3" numFmtId="0" xfId="0" applyAlignment="1" applyBorder="1" applyFont="1">
      <alignment readingOrder="0"/>
    </xf>
    <xf borderId="4" fillId="8" fontId="11" numFmtId="0" xfId="0" applyAlignment="1" applyBorder="1" applyFont="1">
      <alignment horizontal="center" readingOrder="0" vertical="bottom"/>
    </xf>
    <xf borderId="0" fillId="9" fontId="3" numFmtId="0" xfId="0" applyFont="1"/>
    <xf borderId="4" fillId="3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5" fontId="1" numFmtId="0" xfId="0" applyAlignment="1" applyBorder="1" applyFont="1">
      <alignment horizontal="center" vertical="bottom"/>
    </xf>
    <xf borderId="4" fillId="5" fontId="15" numFmtId="164" xfId="0" applyAlignment="1" applyBorder="1" applyFont="1" applyNumberFormat="1">
      <alignment horizontal="center" readingOrder="0" vertical="bottom"/>
    </xf>
    <xf borderId="8" fillId="5" fontId="16" numFmtId="0" xfId="0" applyAlignment="1" applyBorder="1" applyFont="1">
      <alignment horizontal="center" readingOrder="0"/>
    </xf>
    <xf borderId="4" fillId="3" fontId="17" numFmtId="0" xfId="0" applyAlignment="1" applyBorder="1" applyFont="1">
      <alignment horizontal="center" readingOrder="0"/>
    </xf>
    <xf borderId="4" fillId="5" fontId="15" numFmtId="0" xfId="0" applyAlignment="1" applyBorder="1" applyFont="1">
      <alignment horizontal="center" vertical="bottom"/>
    </xf>
    <xf borderId="4" fillId="5" fontId="15" numFmtId="0" xfId="0" applyAlignment="1" applyBorder="1" applyFont="1">
      <alignment horizontal="center" readingOrder="0" vertical="bottom"/>
    </xf>
    <xf borderId="4" fillId="8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vertical="bottom"/>
    </xf>
    <xf borderId="4" fillId="12" fontId="15" numFmtId="0" xfId="0" applyAlignment="1" applyBorder="1" applyFont="1">
      <alignment horizontal="center" readingOrder="0" vertical="bottom"/>
    </xf>
    <xf borderId="0" fillId="0" fontId="16" numFmtId="0" xfId="0" applyFont="1"/>
    <xf borderId="4" fillId="5" fontId="5" numFmtId="0" xfId="0" applyAlignment="1" applyBorder="1" applyFont="1">
      <alignment horizontal="center" vertical="bottom"/>
    </xf>
    <xf borderId="4" fillId="13" fontId="4" numFmtId="0" xfId="0" applyAlignment="1" applyBorder="1" applyFont="1">
      <alignment horizontal="center" readingOrder="0" vertical="bottom"/>
    </xf>
    <xf borderId="4" fillId="12" fontId="4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readingOrder="0" vertical="bottom"/>
    </xf>
    <xf borderId="4" fillId="12" fontId="7" numFmtId="0" xfId="0" applyAlignment="1" applyBorder="1" applyFont="1">
      <alignment horizontal="center" readingOrder="0" vertical="bottom"/>
    </xf>
    <xf borderId="4" fillId="20" fontId="4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4" fillId="5" fontId="5" numFmtId="164" xfId="0" applyAlignment="1" applyBorder="1" applyFont="1" applyNumberFormat="1">
      <alignment horizontal="center" vertical="bottom"/>
    </xf>
    <xf borderId="4" fillId="3" fontId="18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5" fontId="5" numFmtId="164" xfId="0" applyAlignment="1" applyBorder="1" applyFont="1" applyNumberFormat="1">
      <alignment horizontal="center" readingOrder="0" vertical="bottom"/>
    </xf>
    <xf borderId="0" fillId="5" fontId="6" numFmtId="0" xfId="0" applyFont="1"/>
    <xf borderId="4" fillId="20" fontId="3" numFmtId="0" xfId="0" applyBorder="1" applyFont="1"/>
    <xf borderId="4" fillId="5" fontId="3" numFmtId="0" xfId="0" applyAlignment="1" applyBorder="1" applyFont="1">
      <alignment horizontal="center"/>
    </xf>
    <xf borderId="4" fillId="0" fontId="3" numFmtId="0" xfId="0" applyBorder="1" applyFont="1"/>
    <xf borderId="0" fillId="3" fontId="19" numFmtId="0" xfId="0" applyAlignment="1" applyFont="1">
      <alignment horizontal="center" readingOrder="0"/>
    </xf>
    <xf borderId="0" fillId="5" fontId="19" numFmtId="0" xfId="0" applyAlignment="1" applyFont="1">
      <alignment horizontal="center" readingOrder="0"/>
    </xf>
    <xf borderId="4" fillId="0" fontId="6" numFmtId="0" xfId="0" applyBorder="1" applyFont="1"/>
    <xf borderId="4" fillId="0" fontId="3" numFmtId="0" xfId="0" applyAlignment="1" applyBorder="1" applyFont="1">
      <alignment readingOrder="0"/>
    </xf>
    <xf borderId="4" fillId="5" fontId="3" numFmtId="165" xfId="0" applyAlignment="1" applyBorder="1" applyFont="1" applyNumberFormat="1">
      <alignment readingOrder="0"/>
    </xf>
    <xf borderId="4" fillId="15" fontId="3" numFmtId="0" xfId="0" applyAlignment="1" applyBorder="1" applyFont="1">
      <alignment readingOrder="0"/>
    </xf>
    <xf borderId="4" fillId="5" fontId="3" numFmtId="165" xfId="0" applyAlignment="1" applyBorder="1" applyFont="1" applyNumberFormat="1">
      <alignment horizontal="center" readingOrder="0"/>
    </xf>
    <xf borderId="0" fillId="15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4" fillId="3" fontId="1" numFmtId="0" xfId="0" applyAlignment="1" applyBorder="1" applyFont="1">
      <alignment horizontal="center" vertical="bottom"/>
    </xf>
    <xf borderId="4" fillId="8" fontId="4" numFmtId="0" xfId="0" applyAlignment="1" applyBorder="1" applyFont="1">
      <alignment horizontal="center" vertical="bottom"/>
    </xf>
    <xf borderId="4" fillId="8" fontId="15" numFmtId="164" xfId="0" applyAlignment="1" applyBorder="1" applyFont="1" applyNumberFormat="1">
      <alignment horizontal="center" readingOrder="0" vertical="bottom"/>
    </xf>
    <xf borderId="8" fillId="8" fontId="16" numFmtId="0" xfId="0" applyAlignment="1" applyBorder="1" applyFont="1">
      <alignment horizontal="center" readingOrder="0"/>
    </xf>
    <xf borderId="4" fillId="5" fontId="17" numFmtId="0" xfId="0" applyAlignment="1" applyBorder="1" applyFont="1">
      <alignment horizontal="center" readingOrder="0"/>
    </xf>
    <xf borderId="4" fillId="8" fontId="15" numFmtId="0" xfId="0" applyAlignment="1" applyBorder="1" applyFont="1">
      <alignment horizontal="center" readingOrder="0" vertical="bottom"/>
    </xf>
    <xf borderId="0" fillId="15" fontId="3" numFmtId="0" xfId="0" applyAlignment="1" applyFont="1">
      <alignment horizontal="center" readingOrder="0"/>
    </xf>
    <xf borderId="0" fillId="8" fontId="4" numFmtId="0" xfId="0" applyAlignment="1" applyFont="1">
      <alignment horizontal="center" readingOrder="0" vertical="bottom"/>
    </xf>
    <xf borderId="0" fillId="12" fontId="3" numFmtId="0" xfId="0" applyAlignment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4" fillId="8" fontId="4" numFmtId="165" xfId="0" applyAlignment="1" applyBorder="1" applyFont="1" applyNumberFormat="1">
      <alignment horizontal="center" readingOrder="0"/>
    </xf>
    <xf borderId="4" fillId="8" fontId="3" numFmtId="164" xfId="0" applyAlignment="1" applyBorder="1" applyFont="1" applyNumberFormat="1">
      <alignment horizontal="center" readingOrder="0"/>
    </xf>
    <xf borderId="4" fillId="8" fontId="3" numFmtId="0" xfId="0" applyAlignment="1" applyBorder="1" applyFont="1">
      <alignment horizontal="center"/>
    </xf>
    <xf borderId="4" fillId="8" fontId="14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/>
    </xf>
    <xf borderId="4" fillId="8" fontId="3" numFmtId="165" xfId="0" applyAlignment="1" applyBorder="1" applyFont="1" applyNumberFormat="1">
      <alignment horizontal="center" readingOrder="0"/>
    </xf>
    <xf borderId="0" fillId="5" fontId="20" numFmtId="0" xfId="0" applyAlignment="1" applyFont="1">
      <alignment readingOrder="0"/>
    </xf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5" fontId="3" numFmtId="0" xfId="0" applyFont="1"/>
    <xf borderId="4" fillId="0" fontId="4" numFmtId="164" xfId="0" applyAlignment="1" applyBorder="1" applyFont="1" applyNumberFormat="1">
      <alignment horizontal="center" readingOrder="0" vertical="bottom"/>
    </xf>
    <xf borderId="0" fillId="8" fontId="3" numFmtId="0" xfId="0" applyAlignment="1" applyFont="1">
      <alignment horizontal="center" readingOrder="0"/>
    </xf>
    <xf borderId="0" fillId="8" fontId="20" numFmtId="0" xfId="0" applyAlignment="1" applyFont="1">
      <alignment horizontal="center" readingOrder="0"/>
    </xf>
    <xf borderId="0" fillId="22" fontId="3" numFmtId="0" xfId="0" applyAlignment="1" applyFill="1" applyFont="1">
      <alignment readingOrder="0"/>
    </xf>
    <xf borderId="4" fillId="8" fontId="20" numFmtId="0" xfId="0" applyAlignment="1" applyBorder="1" applyFont="1">
      <alignment horizontal="center" readingOrder="0"/>
    </xf>
    <xf borderId="0" fillId="8" fontId="11" numFmtId="0" xfId="0" applyAlignment="1" applyFont="1">
      <alignment horizontal="center" readingOrder="0"/>
    </xf>
    <xf borderId="9" fillId="3" fontId="21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0" fillId="7" fontId="22" numFmtId="0" xfId="0" applyAlignment="1" applyFont="1">
      <alignment horizontal="center" vertical="center"/>
    </xf>
    <xf borderId="8" fillId="4" fontId="23" numFmtId="0" xfId="0" applyAlignment="1" applyBorder="1" applyFont="1">
      <alignment readingOrder="0"/>
    </xf>
    <xf borderId="8" fillId="4" fontId="23" numFmtId="0" xfId="0" applyAlignment="1" applyBorder="1" applyFont="1">
      <alignment readingOrder="0" shrinkToFit="0" wrapText="1"/>
    </xf>
    <xf borderId="12" fillId="4" fontId="23" numFmtId="0" xfId="0" applyAlignment="1" applyBorder="1" applyFont="1">
      <alignment readingOrder="0"/>
    </xf>
    <xf borderId="13" fillId="5" fontId="23" numFmtId="0" xfId="0" applyAlignment="1" applyBorder="1" applyFont="1">
      <alignment readingOrder="0"/>
    </xf>
    <xf borderId="14" fillId="6" fontId="6" numFmtId="0" xfId="0" applyAlignment="1" applyBorder="1" applyFont="1">
      <alignment readingOrder="0"/>
    </xf>
    <xf borderId="15" fillId="6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165" xfId="0" applyAlignment="1" applyBorder="1" applyFont="1" applyNumberFormat="1">
      <alignment readingOrder="0"/>
    </xf>
    <xf borderId="17" fillId="0" fontId="6" numFmtId="0" xfId="0" applyAlignment="1" applyBorder="1" applyFont="1">
      <alignment readingOrder="0"/>
    </xf>
    <xf borderId="4" fillId="0" fontId="24" numFmtId="0" xfId="0" applyAlignment="1" applyBorder="1" applyFont="1">
      <alignment horizontal="center" readingOrder="0"/>
    </xf>
    <xf borderId="4" fillId="0" fontId="24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6" numFmtId="165" xfId="0" applyAlignment="1" applyBorder="1" applyFont="1" applyNumberFormat="1">
      <alignment readingOrder="0"/>
    </xf>
    <xf borderId="7" fillId="0" fontId="6" numFmtId="0" xfId="0" applyBorder="1" applyFont="1"/>
    <xf borderId="18" fillId="0" fontId="6" numFmtId="0" xfId="0" applyBorder="1" applyFont="1"/>
    <xf borderId="19" fillId="0" fontId="6" numFmtId="0" xfId="0" applyAlignment="1" applyBorder="1" applyFont="1">
      <alignment readingOrder="0"/>
    </xf>
    <xf borderId="7" fillId="0" fontId="6" numFmtId="165" xfId="0" applyAlignment="1" applyBorder="1" applyFont="1" applyNumberFormat="1">
      <alignment readingOrder="0"/>
    </xf>
    <xf borderId="4" fillId="0" fontId="6" numFmtId="166" xfId="0" applyAlignment="1" applyBorder="1" applyFont="1" applyNumberFormat="1">
      <alignment readingOrder="0"/>
    </xf>
    <xf borderId="0" fillId="8" fontId="25" numFmtId="0" xfId="0" applyAlignment="1" applyFont="1">
      <alignment horizontal="center" readingOrder="0"/>
    </xf>
    <xf borderId="0" fillId="23" fontId="26" numFmtId="0" xfId="0" applyAlignment="1" applyFill="1" applyFont="1">
      <alignment readingOrder="0" shrinkToFit="0" wrapText="0"/>
    </xf>
    <xf borderId="7" fillId="0" fontId="6" numFmtId="0" xfId="0" applyAlignment="1" applyBorder="1" applyFont="1">
      <alignment readingOrder="0"/>
    </xf>
    <xf borderId="18" fillId="0" fontId="6" numFmtId="0" xfId="0" applyAlignment="1" applyBorder="1" applyFont="1">
      <alignment readingOrder="0"/>
    </xf>
    <xf borderId="7" fillId="0" fontId="6" numFmtId="164" xfId="0" applyAlignment="1" applyBorder="1" applyFont="1" applyNumberFormat="1">
      <alignment horizontal="center" readingOrder="0"/>
    </xf>
    <xf borderId="17" fillId="0" fontId="6" numFmtId="0" xfId="0" applyAlignment="1" applyBorder="1" applyFont="1">
      <alignment horizontal="center" readingOrder="0"/>
    </xf>
    <xf borderId="4" fillId="9" fontId="2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167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24" fontId="4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center"/>
    </xf>
    <xf borderId="4" fillId="0" fontId="27" numFmtId="0" xfId="0" applyAlignment="1" applyBorder="1" applyFont="1">
      <alignment readingOrder="0"/>
    </xf>
    <xf borderId="0" fillId="0" fontId="28" numFmtId="0" xfId="0" applyAlignment="1" applyFont="1">
      <alignment readingOrder="0"/>
    </xf>
    <xf borderId="20" fillId="0" fontId="6" numFmtId="0" xfId="0" applyBorder="1" applyFont="1"/>
    <xf borderId="19" fillId="0" fontId="6" numFmtId="0" xfId="0" applyBorder="1" applyFont="1"/>
    <xf borderId="21" fillId="0" fontId="6" numFmtId="0" xfId="0" applyAlignment="1" applyBorder="1" applyFont="1">
      <alignment readingOrder="0"/>
    </xf>
    <xf borderId="22" fillId="0" fontId="6" numFmtId="0" xfId="0" applyBorder="1" applyFont="1"/>
    <xf borderId="23" fillId="0" fontId="6" numFmtId="0" xfId="0" applyAlignment="1" applyBorder="1" applyFont="1">
      <alignment readingOrder="0"/>
    </xf>
    <xf borderId="24" fillId="0" fontId="6" numFmtId="0" xfId="0" applyBorder="1" applyFont="1"/>
    <xf borderId="25" fillId="0" fontId="6" numFmtId="0" xfId="0" applyAlignment="1" applyBorder="1" applyFont="1">
      <alignment readingOrder="0"/>
    </xf>
    <xf borderId="26" fillId="0" fontId="6" numFmtId="0" xfId="0" applyBorder="1" applyFont="1"/>
    <xf borderId="17" fillId="0" fontId="6" numFmtId="0" xfId="0" applyBorder="1" applyFont="1"/>
    <xf borderId="27" fillId="0" fontId="6" numFmtId="0" xfId="0" applyBorder="1" applyFont="1"/>
    <xf borderId="28" fillId="0" fontId="6" numFmtId="0" xfId="0" applyAlignment="1" applyBorder="1" applyFont="1">
      <alignment readingOrder="0"/>
    </xf>
    <xf borderId="29" fillId="0" fontId="6" numFmtId="0" xfId="0" applyBorder="1" applyFont="1"/>
    <xf borderId="21" fillId="0" fontId="6" numFmtId="0" xfId="0" applyBorder="1" applyFont="1"/>
    <xf borderId="30" fillId="0" fontId="6" numFmtId="0" xfId="0" applyBorder="1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9" fillId="3" fontId="29" numFmtId="0" xfId="0" applyAlignment="1" applyBorder="1" applyFont="1">
      <alignment horizontal="center" readingOrder="0"/>
    </xf>
    <xf borderId="0" fillId="7" fontId="29" numFmtId="0" xfId="0" applyAlignment="1" applyFont="1">
      <alignment horizontal="center" vertical="center"/>
    </xf>
    <xf borderId="0" fillId="9" fontId="30" numFmtId="0" xfId="0" applyAlignment="1" applyFont="1">
      <alignment horizontal="center" readingOrder="0"/>
    </xf>
    <xf borderId="0" fillId="0" fontId="30" numFmtId="0" xfId="0" applyAlignment="1" applyFont="1">
      <alignment horizontal="center"/>
    </xf>
    <xf borderId="8" fillId="4" fontId="29" numFmtId="0" xfId="0" applyAlignment="1" applyBorder="1" applyFont="1">
      <alignment horizontal="center" readingOrder="0"/>
    </xf>
    <xf borderId="8" fillId="4" fontId="29" numFmtId="0" xfId="0" applyAlignment="1" applyBorder="1" applyFont="1">
      <alignment horizontal="center" readingOrder="0" shrinkToFit="0" wrapText="1"/>
    </xf>
    <xf borderId="12" fillId="4" fontId="29" numFmtId="0" xfId="0" applyAlignment="1" applyBorder="1" applyFont="1">
      <alignment horizontal="center" readingOrder="0"/>
    </xf>
    <xf borderId="13" fillId="5" fontId="29" numFmtId="0" xfId="0" applyAlignment="1" applyBorder="1" applyFont="1">
      <alignment horizontal="center" readingOrder="0"/>
    </xf>
    <xf borderId="14" fillId="6" fontId="30" numFmtId="0" xfId="0" applyAlignment="1" applyBorder="1" applyFont="1">
      <alignment horizontal="center" readingOrder="0"/>
    </xf>
    <xf borderId="15" fillId="6" fontId="30" numFmtId="0" xfId="0" applyAlignment="1" applyBorder="1" applyFont="1">
      <alignment horizontal="center" readingOrder="0"/>
    </xf>
    <xf borderId="16" fillId="0" fontId="30" numFmtId="0" xfId="0" applyAlignment="1" applyBorder="1" applyFont="1">
      <alignment horizontal="center" readingOrder="0"/>
    </xf>
    <xf borderId="17" fillId="0" fontId="30" numFmtId="165" xfId="0" applyAlignment="1" applyBorder="1" applyFont="1" applyNumberFormat="1">
      <alignment horizontal="center" readingOrder="0"/>
    </xf>
    <xf borderId="0" fillId="0" fontId="30" numFmtId="0" xfId="0" applyAlignment="1" applyFont="1">
      <alignment horizontal="center" readingOrder="0"/>
    </xf>
    <xf borderId="4" fillId="20" fontId="31" numFmtId="0" xfId="0" applyAlignment="1" applyBorder="1" applyFont="1">
      <alignment horizontal="center" readingOrder="0"/>
    </xf>
    <xf borderId="8" fillId="0" fontId="30" numFmtId="0" xfId="0" applyAlignment="1" applyBorder="1" applyFont="1">
      <alignment horizontal="center" readingOrder="0"/>
    </xf>
    <xf borderId="17" fillId="0" fontId="30" numFmtId="0" xfId="0" applyAlignment="1" applyBorder="1" applyFont="1">
      <alignment horizontal="center" readingOrder="0"/>
    </xf>
    <xf borderId="12" fillId="0" fontId="30" numFmtId="0" xfId="0" applyAlignment="1" applyBorder="1" applyFont="1">
      <alignment horizontal="center" readingOrder="0"/>
    </xf>
    <xf borderId="13" fillId="0" fontId="30" numFmtId="0" xfId="0" applyAlignment="1" applyBorder="1" applyFont="1">
      <alignment horizontal="center" readingOrder="0"/>
    </xf>
    <xf borderId="19" fillId="0" fontId="30" numFmtId="0" xfId="0" applyAlignment="1" applyBorder="1" applyFont="1">
      <alignment horizontal="center" readingOrder="0"/>
    </xf>
    <xf borderId="18" fillId="0" fontId="30" numFmtId="0" xfId="0" applyAlignment="1" applyBorder="1" applyFont="1">
      <alignment horizontal="center"/>
    </xf>
    <xf borderId="0" fillId="8" fontId="30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8" fontId="6" numFmtId="0" xfId="0" applyFont="1"/>
    <xf borderId="7" fillId="0" fontId="30" numFmtId="164" xfId="0" applyAlignment="1" applyBorder="1" applyFont="1" applyNumberFormat="1">
      <alignment horizontal="center" readingOrder="0"/>
    </xf>
    <xf borderId="4" fillId="0" fontId="32" numFmtId="0" xfId="0" applyAlignment="1" applyBorder="1" applyFont="1">
      <alignment horizontal="center" readingOrder="0" vertical="bottom"/>
    </xf>
    <xf borderId="4" fillId="3" fontId="32" numFmtId="0" xfId="0" applyAlignment="1" applyBorder="1" applyFont="1">
      <alignment horizontal="center" readingOrder="0" vertical="bottom"/>
    </xf>
    <xf borderId="20" fillId="0" fontId="30" numFmtId="0" xfId="0" applyAlignment="1" applyBorder="1" applyFont="1">
      <alignment horizontal="center"/>
    </xf>
    <xf borderId="19" fillId="0" fontId="30" numFmtId="0" xfId="0" applyAlignment="1" applyBorder="1" applyFont="1">
      <alignment horizontal="center"/>
    </xf>
    <xf borderId="7" fillId="0" fontId="30" numFmtId="165" xfId="0" applyAlignment="1" applyBorder="1" applyFont="1" applyNumberFormat="1">
      <alignment horizontal="center" readingOrder="0"/>
    </xf>
    <xf borderId="4" fillId="3" fontId="31" numFmtId="0" xfId="0" applyAlignment="1" applyBorder="1" applyFont="1">
      <alignment horizontal="center" readingOrder="0"/>
    </xf>
    <xf borderId="4" fillId="0" fontId="30" numFmtId="0" xfId="0" applyAlignment="1" applyBorder="1" applyFont="1">
      <alignment horizontal="center" readingOrder="0"/>
    </xf>
    <xf borderId="18" fillId="0" fontId="30" numFmtId="0" xfId="0" applyAlignment="1" applyBorder="1" applyFont="1">
      <alignment horizontal="center" readingOrder="0"/>
    </xf>
    <xf borderId="7" fillId="0" fontId="32" numFmtId="165" xfId="0" applyAlignment="1" applyBorder="1" applyFont="1" applyNumberFormat="1">
      <alignment horizontal="center" readingOrder="0"/>
    </xf>
    <xf borderId="17" fillId="0" fontId="32" numFmtId="0" xfId="0" applyAlignment="1" applyBorder="1" applyFont="1">
      <alignment horizontal="center" readingOrder="0"/>
    </xf>
    <xf borderId="4" fillId="3" fontId="33" numFmtId="0" xfId="0" applyAlignment="1" applyBorder="1" applyFont="1">
      <alignment horizontal="center" readingOrder="0"/>
    </xf>
    <xf borderId="4" fillId="0" fontId="32" numFmtId="0" xfId="0" applyAlignment="1" applyBorder="1" applyFont="1">
      <alignment horizontal="center" readingOrder="0"/>
    </xf>
    <xf borderId="20" fillId="0" fontId="32" numFmtId="0" xfId="0" applyAlignment="1" applyBorder="1" applyFont="1">
      <alignment horizontal="center"/>
    </xf>
    <xf borderId="13" fillId="0" fontId="32" numFmtId="0" xfId="0" applyAlignment="1" applyBorder="1" applyFont="1">
      <alignment horizontal="center" readingOrder="0"/>
    </xf>
    <xf borderId="19" fillId="0" fontId="32" numFmtId="0" xfId="0" applyAlignment="1" applyBorder="1" applyFont="1">
      <alignment horizontal="center"/>
    </xf>
    <xf borderId="18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/>
    </xf>
    <xf borderId="0" fillId="8" fontId="32" numFmtId="0" xfId="0" applyAlignment="1" applyFont="1">
      <alignment horizontal="center" readingOrder="0"/>
    </xf>
    <xf borderId="0" fillId="8" fontId="0" numFmtId="0" xfId="0" applyAlignment="1" applyFont="1">
      <alignment horizontal="center" readingOrder="0"/>
    </xf>
    <xf borderId="0" fillId="8" fontId="34" numFmtId="0" xfId="0" applyFont="1"/>
    <xf borderId="7" fillId="0" fontId="30" numFmtId="0" xfId="0" applyAlignment="1" applyBorder="1" applyFont="1">
      <alignment horizontal="center" readingOrder="0"/>
    </xf>
    <xf borderId="4" fillId="3" fontId="30" numFmtId="0" xfId="0" applyAlignment="1" applyBorder="1" applyFont="1">
      <alignment horizontal="center" readingOrder="0"/>
    </xf>
    <xf borderId="16" fillId="9" fontId="30" numFmtId="0" xfId="0" applyAlignment="1" applyBorder="1" applyFont="1">
      <alignment horizontal="center" readingOrder="0"/>
    </xf>
    <xf borderId="7" fillId="9" fontId="30" numFmtId="165" xfId="0" applyAlignment="1" applyBorder="1" applyFont="1" applyNumberFormat="1">
      <alignment horizontal="center" readingOrder="0"/>
    </xf>
    <xf borderId="7" fillId="9" fontId="30" numFmtId="0" xfId="0" applyAlignment="1" applyBorder="1" applyFont="1">
      <alignment horizontal="center" readingOrder="0"/>
    </xf>
    <xf borderId="4" fillId="9" fontId="30" numFmtId="0" xfId="0" applyAlignment="1" applyBorder="1" applyFont="1">
      <alignment horizontal="center" readingOrder="0"/>
    </xf>
    <xf borderId="20" fillId="9" fontId="30" numFmtId="0" xfId="0" applyAlignment="1" applyBorder="1" applyFont="1">
      <alignment horizontal="center"/>
    </xf>
    <xf borderId="13" fillId="9" fontId="30" numFmtId="0" xfId="0" applyAlignment="1" applyBorder="1" applyFont="1">
      <alignment horizontal="center" readingOrder="0"/>
    </xf>
    <xf borderId="19" fillId="9" fontId="30" numFmtId="0" xfId="0" applyAlignment="1" applyBorder="1" applyFont="1">
      <alignment horizontal="center"/>
    </xf>
    <xf borderId="18" fillId="9" fontId="30" numFmtId="0" xfId="0" applyAlignment="1" applyBorder="1" applyFont="1">
      <alignment horizontal="center"/>
    </xf>
    <xf borderId="0" fillId="9" fontId="30" numFmtId="0" xfId="0" applyAlignment="1" applyFont="1">
      <alignment horizontal="center"/>
    </xf>
    <xf borderId="0" fillId="9" fontId="34" numFmtId="0" xfId="0" applyFont="1"/>
    <xf borderId="16" fillId="7" fontId="30" numFmtId="0" xfId="0" applyAlignment="1" applyBorder="1" applyFont="1">
      <alignment horizontal="center" readingOrder="0"/>
    </xf>
    <xf borderId="7" fillId="7" fontId="30" numFmtId="165" xfId="0" applyAlignment="1" applyBorder="1" applyFont="1" applyNumberFormat="1">
      <alignment horizontal="center" readingOrder="0"/>
    </xf>
    <xf borderId="7" fillId="7" fontId="30" numFmtId="0" xfId="0" applyAlignment="1" applyBorder="1" applyFont="1">
      <alignment horizontal="center" readingOrder="0"/>
    </xf>
    <xf borderId="4" fillId="7" fontId="30" numFmtId="0" xfId="0" applyAlignment="1" applyBorder="1" applyFont="1">
      <alignment horizontal="center" readingOrder="0"/>
    </xf>
    <xf borderId="20" fillId="7" fontId="30" numFmtId="0" xfId="0" applyAlignment="1" applyBorder="1" applyFont="1">
      <alignment horizontal="center"/>
    </xf>
    <xf borderId="13" fillId="7" fontId="30" numFmtId="0" xfId="0" applyAlignment="1" applyBorder="1" applyFont="1">
      <alignment horizontal="center" readingOrder="0"/>
    </xf>
    <xf borderId="19" fillId="7" fontId="30" numFmtId="0" xfId="0" applyAlignment="1" applyBorder="1" applyFont="1">
      <alignment horizontal="center"/>
    </xf>
    <xf borderId="18" fillId="7" fontId="30" numFmtId="0" xfId="0" applyAlignment="1" applyBorder="1" applyFont="1">
      <alignment horizontal="center"/>
    </xf>
    <xf borderId="0" fillId="7" fontId="30" numFmtId="0" xfId="0" applyAlignment="1" applyFont="1">
      <alignment horizontal="center"/>
    </xf>
    <xf borderId="0" fillId="7" fontId="30" numFmtId="0" xfId="0" applyAlignment="1" applyFont="1">
      <alignment horizontal="center" readingOrder="0"/>
    </xf>
    <xf borderId="0" fillId="7" fontId="6" numFmtId="0" xfId="0" applyFont="1"/>
    <xf borderId="27" fillId="0" fontId="30" numFmtId="0" xfId="0" applyAlignment="1" applyBorder="1" applyFont="1">
      <alignment horizontal="center" readingOrder="0"/>
    </xf>
    <xf borderId="28" fillId="3" fontId="30" numFmtId="0" xfId="0" applyAlignment="1" applyBorder="1" applyFont="1">
      <alignment horizontal="center" readingOrder="0"/>
    </xf>
    <xf borderId="28" fillId="0" fontId="30" numFmtId="0" xfId="0" applyAlignment="1" applyBorder="1" applyFont="1">
      <alignment horizontal="center" readingOrder="0"/>
    </xf>
    <xf borderId="29" fillId="0" fontId="30" numFmtId="0" xfId="0" applyAlignment="1" applyBorder="1" applyFont="1">
      <alignment horizontal="center"/>
    </xf>
    <xf borderId="21" fillId="0" fontId="30" numFmtId="0" xfId="0" applyAlignment="1" applyBorder="1" applyFont="1">
      <alignment horizontal="center"/>
    </xf>
    <xf borderId="30" fillId="0" fontId="30" numFmtId="0" xfId="0" applyAlignment="1" applyBorder="1" applyFont="1">
      <alignment horizontal="center"/>
    </xf>
    <xf borderId="0" fillId="8" fontId="6" numFmtId="0" xfId="0" applyAlignment="1" applyFont="1">
      <alignment readingOrder="0"/>
    </xf>
    <xf borderId="12" fillId="0" fontId="30" numFmtId="0" xfId="0" applyAlignment="1" applyBorder="1" applyFont="1">
      <alignment horizontal="center"/>
    </xf>
    <xf borderId="0" fillId="13" fontId="6" numFmtId="0" xfId="0" applyAlignment="1" applyFont="1">
      <alignment horizontal="center" readingOrder="0"/>
    </xf>
    <xf borderId="20" fillId="0" fontId="30" numFmtId="0" xfId="0" applyAlignment="1" applyBorder="1" applyFont="1">
      <alignment horizontal="center" readingOrder="0"/>
    </xf>
    <xf borderId="4" fillId="0" fontId="30" numFmtId="0" xfId="0" applyAlignment="1" applyBorder="1" applyFont="1">
      <alignment horizontal="center"/>
    </xf>
    <xf borderId="4" fillId="0" fontId="35" numFmtId="0" xfId="0" applyAlignment="1" applyBorder="1" applyFont="1">
      <alignment horizontal="center" readingOrder="0"/>
    </xf>
    <xf borderId="7" fillId="0" fontId="30" numFmtId="0" xfId="0" applyAlignment="1" applyBorder="1" applyFont="1">
      <alignment horizontal="center"/>
    </xf>
    <xf borderId="4" fillId="3" fontId="0" numFmtId="0" xfId="0" applyAlignment="1" applyBorder="1" applyFont="1">
      <alignment horizontal="center" readingOrder="0"/>
    </xf>
    <xf borderId="0" fillId="15" fontId="6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8" fontId="14" numFmtId="0" xfId="0" applyAlignment="1" applyFont="1">
      <alignment horizontal="center" readingOrder="0"/>
    </xf>
    <xf borderId="7" fillId="9" fontId="30" numFmtId="0" xfId="0" applyAlignment="1" applyBorder="1" applyFont="1">
      <alignment horizontal="center"/>
    </xf>
    <xf borderId="17" fillId="9" fontId="30" numFmtId="0" xfId="0" applyAlignment="1" applyBorder="1" applyFont="1">
      <alignment horizontal="center" readingOrder="0"/>
    </xf>
    <xf borderId="4" fillId="9" fontId="30" numFmtId="0" xfId="0" applyAlignment="1" applyBorder="1" applyFont="1">
      <alignment horizontal="center"/>
    </xf>
    <xf borderId="0" fillId="9" fontId="6" numFmtId="0" xfId="0" applyAlignment="1" applyFont="1">
      <alignment horizontal="center" readingOrder="0"/>
    </xf>
    <xf borderId="7" fillId="9" fontId="30" numFmtId="164" xfId="0" applyAlignment="1" applyBorder="1" applyFont="1" applyNumberFormat="1">
      <alignment horizontal="center" readingOrder="0"/>
    </xf>
    <xf borderId="22" fillId="0" fontId="30" numFmtId="164" xfId="0" applyAlignment="1" applyBorder="1" applyFont="1" applyNumberFormat="1">
      <alignment horizontal="center" readingOrder="0"/>
    </xf>
    <xf borderId="22" fillId="0" fontId="30" numFmtId="0" xfId="0" applyAlignment="1" applyBorder="1" applyFont="1">
      <alignment horizontal="center" readingOrder="0"/>
    </xf>
    <xf borderId="23" fillId="3" fontId="30" numFmtId="0" xfId="0" applyAlignment="1" applyBorder="1" applyFont="1">
      <alignment horizontal="center" readingOrder="0"/>
    </xf>
    <xf borderId="23" fillId="0" fontId="30" numFmtId="0" xfId="0" applyAlignment="1" applyBorder="1" applyFont="1">
      <alignment horizontal="center" readingOrder="0"/>
    </xf>
    <xf borderId="23" fillId="0" fontId="30" numFmtId="0" xfId="0" applyAlignment="1" applyBorder="1" applyFont="1">
      <alignment horizontal="center"/>
    </xf>
    <xf borderId="24" fillId="0" fontId="30" numFmtId="0" xfId="0" applyAlignment="1" applyBorder="1" applyFont="1">
      <alignment horizontal="center"/>
    </xf>
    <xf borderId="25" fillId="0" fontId="30" numFmtId="0" xfId="0" applyAlignment="1" applyBorder="1" applyFont="1">
      <alignment horizontal="center"/>
    </xf>
    <xf borderId="26" fillId="0" fontId="30" numFmtId="0" xfId="0" applyAlignment="1" applyBorder="1" applyFont="1">
      <alignment horizontal="center"/>
    </xf>
    <xf borderId="4" fillId="9" fontId="6" numFmtId="164" xfId="0" applyAlignment="1" applyBorder="1" applyFont="1" applyNumberFormat="1">
      <alignment horizontal="center" readingOrder="0"/>
    </xf>
    <xf borderId="4" fillId="9" fontId="6" numFmtId="0" xfId="0" applyAlignment="1" applyBorder="1" applyFont="1">
      <alignment horizontal="center" readingOrder="0"/>
    </xf>
    <xf borderId="4" fillId="9" fontId="6" numFmtId="0" xfId="0" applyAlignment="1" applyBorder="1" applyFont="1">
      <alignment horizontal="center"/>
    </xf>
    <xf borderId="0" fillId="9" fontId="6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 readingOrder="0"/>
    </xf>
    <xf borderId="4" fillId="3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0" fillId="3" fontId="29" numFmtId="0" xfId="0" applyAlignment="1" applyBorder="1" applyFont="1">
      <alignment horizontal="center" readingOrder="0"/>
    </xf>
    <xf borderId="17" fillId="0" fontId="30" numFmtId="164" xfId="0" applyAlignment="1" applyBorder="1" applyFont="1" applyNumberFormat="1">
      <alignment horizontal="center" readingOrder="0"/>
    </xf>
    <xf borderId="7" fillId="8" fontId="30" numFmtId="164" xfId="0" applyAlignment="1" applyBorder="1" applyFont="1" applyNumberFormat="1">
      <alignment horizontal="center" readingOrder="0"/>
    </xf>
    <xf borderId="17" fillId="8" fontId="30" numFmtId="0" xfId="0" applyAlignment="1" applyBorder="1" applyFont="1">
      <alignment horizontal="center" readingOrder="0"/>
    </xf>
    <xf borderId="4" fillId="8" fontId="30" numFmtId="0" xfId="0" applyAlignment="1" applyBorder="1" applyFont="1">
      <alignment horizontal="center" readingOrder="0"/>
    </xf>
    <xf borderId="4" fillId="8" fontId="35" numFmtId="0" xfId="0" applyAlignment="1" applyBorder="1" applyFont="1">
      <alignment horizontal="center" readingOrder="0"/>
    </xf>
    <xf borderId="7" fillId="8" fontId="30" numFmtId="0" xfId="0" applyAlignment="1" applyBorder="1" applyFont="1">
      <alignment horizontal="center"/>
    </xf>
    <xf borderId="18" fillId="8" fontId="30" numFmtId="0" xfId="0" applyAlignment="1" applyBorder="1" applyFont="1">
      <alignment horizontal="center" readingOrder="0"/>
    </xf>
    <xf borderId="17" fillId="3" fontId="30" numFmtId="0" xfId="0" applyAlignment="1" applyBorder="1" applyFont="1">
      <alignment horizontal="center" readingOrder="0"/>
    </xf>
    <xf borderId="4" fillId="0" fontId="0" numFmtId="0" xfId="0" applyAlignment="1" applyBorder="1" applyFont="1">
      <alignment horizontal="center" readingOrder="0"/>
    </xf>
    <xf borderId="31" fillId="0" fontId="30" numFmtId="0" xfId="0" applyAlignment="1" applyBorder="1" applyFont="1">
      <alignment horizontal="center" readingOrder="0"/>
    </xf>
    <xf borderId="4" fillId="8" fontId="32" numFmtId="0" xfId="0" applyAlignment="1" applyBorder="1" applyFont="1">
      <alignment horizontal="center" readingOrder="0" vertical="bottom"/>
    </xf>
    <xf borderId="0" fillId="12" fontId="30" numFmtId="0" xfId="0" applyAlignment="1" applyFont="1">
      <alignment horizontal="center" readingOrder="0"/>
    </xf>
    <xf borderId="7" fillId="3" fontId="30" numFmtId="0" xfId="0" applyAlignment="1" applyBorder="1" applyFont="1">
      <alignment horizontal="center" readingOrder="0"/>
    </xf>
    <xf borderId="22" fillId="3" fontId="30" numFmtId="0" xfId="0" applyAlignment="1" applyBorder="1" applyFont="1">
      <alignment horizontal="center" readingOrder="0"/>
    </xf>
    <xf borderId="23" fillId="8" fontId="30" numFmtId="0" xfId="0" applyAlignment="1" applyBorder="1" applyFont="1">
      <alignment horizontal="center" readingOrder="0"/>
    </xf>
    <xf borderId="24" fillId="0" fontId="30" numFmtId="0" xfId="0" applyAlignment="1" applyBorder="1" applyFont="1">
      <alignment horizontal="center" readingOrder="0"/>
    </xf>
    <xf borderId="4" fillId="0" fontId="30" numFmtId="164" xfId="0" applyAlignment="1" applyBorder="1" applyFont="1" applyNumberFormat="1">
      <alignment horizontal="center" readingOrder="0"/>
    </xf>
    <xf borderId="5" fillId="3" fontId="29" numFmtId="0" xfId="0" applyAlignment="1" applyBorder="1" applyFont="1">
      <alignment horizontal="center" readingOrder="0"/>
    </xf>
    <xf borderId="23" fillId="7" fontId="29" numFmtId="0" xfId="0" applyAlignment="1" applyBorder="1" applyFont="1">
      <alignment horizontal="center" vertical="center"/>
    </xf>
    <xf borderId="4" fillId="4" fontId="29" numFmtId="0" xfId="0" applyAlignment="1" applyBorder="1" applyFont="1">
      <alignment horizontal="center" readingOrder="0"/>
    </xf>
    <xf borderId="4" fillId="4" fontId="29" numFmtId="0" xfId="0" applyAlignment="1" applyBorder="1" applyFont="1">
      <alignment horizontal="center" readingOrder="0" shrinkToFit="0" wrapText="1"/>
    </xf>
    <xf borderId="4" fillId="5" fontId="29" numFmtId="0" xfId="0" applyAlignment="1" applyBorder="1" applyFont="1">
      <alignment horizontal="center" readingOrder="0"/>
    </xf>
    <xf borderId="4" fillId="6" fontId="30" numFmtId="0" xfId="0" applyAlignment="1" applyBorder="1" applyFont="1">
      <alignment horizontal="center" readingOrder="0"/>
    </xf>
    <xf borderId="8" fillId="0" fontId="2" numFmtId="0" xfId="0" applyBorder="1" applyFont="1"/>
    <xf borderId="4" fillId="0" fontId="30" numFmtId="165" xfId="0" applyAlignment="1" applyBorder="1" applyFont="1" applyNumberFormat="1">
      <alignment horizontal="center" readingOrder="0"/>
    </xf>
    <xf borderId="4" fillId="0" fontId="31" numFmtId="0" xfId="0" applyAlignment="1" applyBorder="1" applyFont="1">
      <alignment horizontal="center" readingOrder="0"/>
    </xf>
    <xf borderId="4" fillId="5" fontId="30" numFmtId="0" xfId="0" applyAlignment="1" applyBorder="1" applyFont="1">
      <alignment horizontal="center" readingOrder="0"/>
    </xf>
    <xf borderId="4" fillId="5" fontId="32" numFmtId="0" xfId="0" applyAlignment="1" applyBorder="1" applyFont="1">
      <alignment horizontal="center" readingOrder="0" vertical="bottom"/>
    </xf>
    <xf borderId="4" fillId="8" fontId="30" numFmtId="165" xfId="0" applyAlignment="1" applyBorder="1" applyFont="1" applyNumberFormat="1">
      <alignment horizontal="center" readingOrder="0"/>
    </xf>
    <xf borderId="4" fillId="8" fontId="31" numFmtId="0" xfId="0" applyAlignment="1" applyBorder="1" applyFont="1">
      <alignment horizontal="center" readingOrder="0"/>
    </xf>
    <xf borderId="4" fillId="8" fontId="30" numFmtId="0" xfId="0" applyAlignment="1" applyBorder="1" applyFont="1">
      <alignment horizontal="center"/>
    </xf>
    <xf borderId="4" fillId="0" fontId="32" numFmtId="165" xfId="0" applyAlignment="1" applyBorder="1" applyFont="1" applyNumberFormat="1">
      <alignment horizontal="center" readingOrder="0"/>
    </xf>
    <xf borderId="4" fillId="0" fontId="33" numFmtId="0" xfId="0" applyAlignment="1" applyBorder="1" applyFont="1">
      <alignment horizontal="center" readingOrder="0"/>
    </xf>
    <xf borderId="4" fillId="5" fontId="32" numFmtId="0" xfId="0" applyAlignment="1" applyBorder="1" applyFont="1">
      <alignment horizontal="center" readingOrder="0"/>
    </xf>
    <xf borderId="4" fillId="0" fontId="32" numFmtId="0" xfId="0" applyAlignment="1" applyBorder="1" applyFont="1">
      <alignment horizontal="center"/>
    </xf>
    <xf borderId="4" fillId="8" fontId="32" numFmtId="0" xfId="0" applyAlignment="1" applyBorder="1" applyFont="1">
      <alignment horizontal="center" readingOrder="0"/>
    </xf>
    <xf borderId="4" fillId="12" fontId="30" numFmtId="0" xfId="0" applyAlignment="1" applyBorder="1" applyFont="1">
      <alignment horizontal="center" readingOrder="0"/>
    </xf>
    <xf borderId="4" fillId="8" fontId="30" numFmtId="164" xfId="0" applyAlignment="1" applyBorder="1" applyFont="1" applyNumberFormat="1">
      <alignment horizontal="center" readingOrder="0"/>
    </xf>
    <xf borderId="4" fillId="8" fontId="0" numFmtId="0" xfId="0" applyAlignment="1" applyBorder="1" applyFont="1">
      <alignment horizontal="center" readingOrder="0"/>
    </xf>
    <xf borderId="0" fillId="25" fontId="36" numFmtId="0" xfId="0" applyAlignment="1" applyFill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0" xfId="0" applyFont="1"/>
    <xf borderId="8" fillId="4" fontId="30" numFmtId="0" xfId="0" applyAlignment="1" applyBorder="1" applyFont="1">
      <alignment horizontal="center" readingOrder="0"/>
    </xf>
    <xf borderId="8" fillId="4" fontId="30" numFmtId="0" xfId="0" applyAlignment="1" applyBorder="1" applyFont="1">
      <alignment horizontal="center" readingOrder="0" shrinkToFit="0" wrapText="1"/>
    </xf>
    <xf borderId="32" fillId="4" fontId="30" numFmtId="0" xfId="0" applyAlignment="1" applyBorder="1" applyFont="1">
      <alignment horizontal="center" readingOrder="0"/>
    </xf>
    <xf borderId="33" fillId="6" fontId="30" numFmtId="0" xfId="0" applyAlignment="1" applyBorder="1" applyFont="1">
      <alignment horizontal="center" readingOrder="0"/>
    </xf>
    <xf borderId="4" fillId="3" fontId="35" numFmtId="0" xfId="0" applyAlignment="1" applyBorder="1" applyFont="1">
      <alignment horizontal="center" readingOrder="0"/>
    </xf>
    <xf borderId="32" fillId="0" fontId="30" numFmtId="0" xfId="0" applyAlignment="1" applyBorder="1" applyFont="1">
      <alignment horizontal="center"/>
    </xf>
    <xf borderId="0" fillId="3" fontId="30" numFmtId="0" xfId="0" applyAlignment="1" applyFont="1">
      <alignment horizontal="center"/>
    </xf>
    <xf borderId="17" fillId="26" fontId="30" numFmtId="0" xfId="0" applyAlignment="1" applyBorder="1" applyFill="1" applyFont="1">
      <alignment horizontal="center" readingOrder="0"/>
    </xf>
    <xf borderId="5" fillId="0" fontId="30" numFmtId="0" xfId="0" applyAlignment="1" applyBorder="1" applyFont="1">
      <alignment horizontal="center"/>
    </xf>
    <xf borderId="0" fillId="20" fontId="30" numFmtId="0" xfId="0" applyAlignment="1" applyFont="1">
      <alignment horizontal="center"/>
    </xf>
    <xf borderId="17" fillId="7" fontId="30" numFmtId="0" xfId="0" applyAlignment="1" applyBorder="1" applyFont="1">
      <alignment horizontal="center" readingOrder="0"/>
    </xf>
    <xf borderId="4" fillId="9" fontId="35" numFmtId="0" xfId="0" applyAlignment="1" applyBorder="1" applyFont="1">
      <alignment horizontal="center" readingOrder="0"/>
    </xf>
    <xf borderId="0" fillId="27" fontId="30" numFmtId="0" xfId="0" applyAlignment="1" applyFill="1" applyFont="1">
      <alignment horizontal="center"/>
    </xf>
    <xf borderId="28" fillId="8" fontId="32" numFmtId="165" xfId="0" applyAlignment="1" applyBorder="1" applyFont="1" applyNumberFormat="1">
      <alignment horizontal="center" vertical="bottom"/>
    </xf>
    <xf borderId="0" fillId="8" fontId="30" numFmtId="0" xfId="0" applyAlignment="1" applyFont="1">
      <alignment horizontal="center"/>
    </xf>
    <xf borderId="5" fillId="0" fontId="30" numFmtId="0" xfId="0" applyAlignment="1" applyBorder="1" applyFont="1">
      <alignment horizontal="center" readingOrder="0"/>
    </xf>
    <xf borderId="0" fillId="0" fontId="37" numFmtId="0" xfId="0" applyAlignment="1" applyFont="1">
      <alignment horizontal="center" readingOrder="0"/>
    </xf>
    <xf borderId="0" fillId="3" fontId="37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7" fillId="26" fontId="30" numFmtId="0" xfId="0" applyAlignment="1" applyBorder="1" applyFont="1">
      <alignment horizontal="center" readingOrder="0"/>
    </xf>
    <xf borderId="27" fillId="0" fontId="30" numFmtId="164" xfId="0" applyAlignment="1" applyBorder="1" applyFont="1" applyNumberFormat="1">
      <alignment horizontal="center" readingOrder="0"/>
    </xf>
    <xf borderId="34" fillId="0" fontId="30" numFmtId="0" xfId="0" applyAlignment="1" applyBorder="1" applyFont="1">
      <alignment horizontal="center"/>
    </xf>
    <xf borderId="27" fillId="0" fontId="30" numFmtId="0" xfId="0" applyAlignment="1" applyBorder="1" applyFont="1">
      <alignment horizontal="center"/>
    </xf>
    <xf borderId="0" fillId="28" fontId="30" numFmtId="0" xfId="0" applyAlignment="1" applyFill="1" applyFont="1">
      <alignment horizontal="center" readingOrder="0"/>
    </xf>
    <xf borderId="0" fillId="0" fontId="39" numFmtId="0" xfId="0" applyAlignment="1" applyFont="1">
      <alignment horizontal="center" readingOrder="0"/>
    </xf>
    <xf borderId="27" fillId="26" fontId="30" numFmtId="0" xfId="0" applyAlignment="1" applyBorder="1" applyFont="1">
      <alignment horizontal="center"/>
    </xf>
    <xf borderId="28" fillId="0" fontId="30" numFmtId="0" xfId="0" applyAlignment="1" applyBorder="1" applyFont="1">
      <alignment horizontal="center"/>
    </xf>
    <xf borderId="32" fillId="4" fontId="29" numFmtId="0" xfId="0" applyAlignment="1" applyBorder="1" applyFont="1">
      <alignment horizontal="center" readingOrder="0"/>
    </xf>
    <xf borderId="16" fillId="8" fontId="30" numFmtId="0" xfId="0" applyAlignment="1" applyBorder="1" applyFont="1">
      <alignment horizontal="center" readingOrder="0"/>
    </xf>
    <xf borderId="17" fillId="8" fontId="30" numFmtId="164" xfId="0" applyAlignment="1" applyBorder="1" applyFont="1" applyNumberFormat="1">
      <alignment horizontal="center" readingOrder="0"/>
    </xf>
    <xf borderId="0" fillId="3" fontId="30" numFmtId="0" xfId="0" applyAlignment="1" applyFont="1">
      <alignment horizontal="center" readingOrder="0"/>
    </xf>
    <xf borderId="4" fillId="8" fontId="37" numFmtId="0" xfId="0" applyAlignment="1" applyBorder="1" applyFont="1">
      <alignment horizontal="center" readingOrder="0"/>
    </xf>
    <xf borderId="32" fillId="8" fontId="30" numFmtId="0" xfId="0" applyAlignment="1" applyBorder="1" applyFont="1">
      <alignment horizontal="center" readingOrder="0"/>
    </xf>
    <xf borderId="7" fillId="8" fontId="30" numFmtId="0" xfId="0" applyAlignment="1" applyBorder="1" applyFont="1">
      <alignment horizontal="center" readingOrder="0"/>
    </xf>
    <xf borderId="18" fillId="8" fontId="30" numFmtId="0" xfId="0" applyAlignment="1" applyBorder="1" applyFont="1">
      <alignment horizontal="center"/>
    </xf>
    <xf borderId="4" fillId="3" fontId="40" numFmtId="0" xfId="0" applyAlignment="1" applyBorder="1" applyFont="1">
      <alignment horizontal="center" readingOrder="0"/>
    </xf>
    <xf borderId="0" fillId="8" fontId="40" numFmtId="0" xfId="0" applyAlignment="1" applyFont="1">
      <alignment horizontal="center" readingOrder="0" shrinkToFit="0" wrapText="0"/>
    </xf>
    <xf borderId="0" fillId="25" fontId="40" numFmtId="0" xfId="0" applyAlignment="1" applyFont="1">
      <alignment horizontal="center" readingOrder="0"/>
    </xf>
    <xf borderId="35" fillId="0" fontId="29" numFmtId="0" xfId="0" applyAlignment="1" applyBorder="1" applyFont="1">
      <alignment horizontal="center"/>
    </xf>
    <xf borderId="4" fillId="3" fontId="37" numFmtId="0" xfId="0" applyAlignment="1" applyBorder="1" applyFont="1">
      <alignment horizontal="center" readingOrder="0"/>
    </xf>
    <xf borderId="4" fillId="0" fontId="37" numFmtId="0" xfId="0" applyAlignment="1" applyBorder="1" applyFont="1">
      <alignment horizontal="center" readingOrder="0"/>
    </xf>
    <xf borderId="7" fillId="0" fontId="32" numFmtId="164" xfId="0" applyAlignment="1" applyBorder="1" applyFont="1" applyNumberFormat="1">
      <alignment horizontal="center" vertical="bottom"/>
    </xf>
    <xf borderId="7" fillId="0" fontId="32" numFmtId="0" xfId="0" applyAlignment="1" applyBorder="1" applyFont="1">
      <alignment horizontal="center" vertical="bottom"/>
    </xf>
    <xf borderId="4" fillId="3" fontId="32" numFmtId="0" xfId="0" applyAlignment="1" applyBorder="1" applyFont="1">
      <alignment horizontal="center" vertical="bottom"/>
    </xf>
    <xf borderId="4" fillId="0" fontId="32" numFmtId="0" xfId="0" applyAlignment="1" applyBorder="1" applyFont="1">
      <alignment horizontal="center" vertical="bottom"/>
    </xf>
    <xf borderId="5" fillId="0" fontId="32" numFmtId="0" xfId="0" applyAlignment="1" applyBorder="1" applyFont="1">
      <alignment horizontal="center" vertical="bottom"/>
    </xf>
    <xf borderId="7" fillId="0" fontId="32" numFmtId="0" xfId="0" applyAlignment="1" applyBorder="1" applyFont="1">
      <alignment horizontal="center" vertical="bottom"/>
    </xf>
    <xf borderId="18" fillId="0" fontId="32" numFmtId="0" xfId="0" applyAlignment="1" applyBorder="1" applyFont="1">
      <alignment horizontal="center" vertical="bottom"/>
    </xf>
    <xf borderId="5" fillId="8" fontId="30" numFmtId="0" xfId="0" applyAlignment="1" applyBorder="1" applyFont="1">
      <alignment horizontal="center"/>
    </xf>
    <xf borderId="19" fillId="3" fontId="30" numFmtId="0" xfId="0" applyAlignment="1" applyBorder="1" applyFont="1">
      <alignment horizontal="center" readingOrder="0"/>
    </xf>
    <xf borderId="27" fillId="3" fontId="30" numFmtId="164" xfId="0" applyAlignment="1" applyBorder="1" applyFont="1" applyNumberFormat="1">
      <alignment horizontal="center" readingOrder="0"/>
    </xf>
    <xf borderId="27" fillId="26" fontId="30" numFmtId="0" xfId="0" applyAlignment="1" applyBorder="1" applyFont="1">
      <alignment horizontal="center" readingOrder="0"/>
    </xf>
    <xf borderId="0" fillId="3" fontId="41" numFmtId="0" xfId="0" applyAlignment="1" applyFont="1">
      <alignment horizontal="center" readingOrder="0"/>
    </xf>
    <xf borderId="34" fillId="3" fontId="30" numFmtId="0" xfId="0" applyAlignment="1" applyBorder="1" applyFont="1">
      <alignment horizontal="center"/>
    </xf>
    <xf borderId="27" fillId="3" fontId="30" numFmtId="0" xfId="0" applyAlignment="1" applyBorder="1" applyFont="1">
      <alignment horizontal="center"/>
    </xf>
    <xf borderId="30" fillId="3" fontId="30" numFmtId="0" xfId="0" applyAlignment="1" applyBorder="1" applyFont="1">
      <alignment horizontal="center"/>
    </xf>
    <xf borderId="0" fillId="0" fontId="6" numFmtId="20" xfId="0" applyAlignment="1" applyFont="1" applyNumberFormat="1">
      <alignment readingOrder="0"/>
    </xf>
    <xf borderId="8" fillId="5" fontId="29" numFmtId="0" xfId="0" applyAlignment="1" applyBorder="1" applyFont="1">
      <alignment horizontal="center" readingOrder="0"/>
    </xf>
    <xf borderId="17" fillId="3" fontId="0" numFmtId="0" xfId="0" applyAlignment="1" applyBorder="1" applyFont="1">
      <alignment horizontal="center" readingOrder="0"/>
    </xf>
    <xf borderId="32" fillId="0" fontId="30" numFmtId="0" xfId="0" applyAlignment="1" applyBorder="1" applyFont="1">
      <alignment horizontal="center" readingOrder="0"/>
    </xf>
    <xf borderId="35" fillId="0" fontId="29" numFmtId="0" xfId="0" applyAlignment="1" applyBorder="1" applyFont="1">
      <alignment horizontal="center" readingOrder="0"/>
    </xf>
    <xf borderId="0" fillId="13" fontId="30" numFmtId="0" xfId="0" applyAlignment="1" applyFont="1">
      <alignment horizontal="center" readingOrder="0"/>
    </xf>
    <xf borderId="0" fillId="15" fontId="30" numFmtId="0" xfId="0" applyAlignment="1" applyFont="1">
      <alignment horizontal="center" readingOrder="0"/>
    </xf>
    <xf borderId="7" fillId="0" fontId="32" numFmtId="165" xfId="0" applyAlignment="1" applyBorder="1" applyFont="1" applyNumberFormat="1">
      <alignment horizontal="center" vertical="bottom"/>
    </xf>
    <xf borderId="17" fillId="0" fontId="32" numFmtId="0" xfId="0" applyAlignment="1" applyBorder="1" applyFont="1">
      <alignment horizontal="center" readingOrder="0" vertical="bottom"/>
    </xf>
    <xf borderId="4" fillId="3" fontId="42" numFmtId="0" xfId="0" applyAlignment="1" applyBorder="1" applyFont="1">
      <alignment horizontal="center" vertical="bottom"/>
    </xf>
    <xf borderId="4" fillId="0" fontId="32" numFmtId="0" xfId="0" applyAlignment="1" applyBorder="1" applyFont="1">
      <alignment horizontal="center" vertical="bottom"/>
    </xf>
    <xf borderId="5" fillId="0" fontId="32" numFmtId="0" xfId="0" applyAlignment="1" applyBorder="1" applyFont="1">
      <alignment horizontal="center" vertical="bottom"/>
    </xf>
    <xf borderId="4" fillId="0" fontId="42" numFmtId="0" xfId="0" applyAlignment="1" applyBorder="1" applyFont="1">
      <alignment horizontal="center" readingOrder="0" vertical="bottom"/>
    </xf>
    <xf borderId="0" fillId="29" fontId="30" numFmtId="0" xfId="0" applyAlignment="1" applyFill="1" applyFont="1">
      <alignment horizontal="center" readingOrder="0"/>
    </xf>
    <xf borderId="17" fillId="6" fontId="30" numFmtId="0" xfId="0" applyAlignment="1" applyBorder="1" applyFont="1">
      <alignment horizontal="center" readingOrder="0"/>
    </xf>
    <xf borderId="18" fillId="12" fontId="30" numFmtId="0" xfId="0" applyAlignment="1" applyBorder="1" applyFont="1">
      <alignment horizontal="center" readingOrder="0"/>
    </xf>
    <xf borderId="36" fillId="0" fontId="30" numFmtId="0" xfId="0" applyAlignment="1" applyBorder="1" applyFont="1">
      <alignment horizontal="center"/>
    </xf>
    <xf borderId="22" fillId="0" fontId="30" numFmtId="0" xfId="0" applyAlignment="1" applyBorder="1" applyFont="1">
      <alignment horizontal="center"/>
    </xf>
    <xf borderId="0" fillId="8" fontId="43" numFmtId="0" xfId="0" applyFont="1"/>
    <xf borderId="0" fillId="8" fontId="30" numFmtId="0" xfId="0" applyAlignment="1" applyFont="1">
      <alignment readingOrder="0"/>
    </xf>
    <xf borderId="0" fillId="8" fontId="43" numFmtId="0" xfId="0" applyAlignment="1" applyFont="1">
      <alignment horizontal="center"/>
    </xf>
    <xf borderId="0" fillId="0" fontId="30" numFmtId="0" xfId="0" applyFont="1"/>
    <xf borderId="0" fillId="13" fontId="30" numFmtId="0" xfId="0" applyAlignment="1" applyFont="1">
      <alignment readingOrder="0"/>
    </xf>
    <xf borderId="4" fillId="5" fontId="35" numFmtId="0" xfId="0" applyAlignment="1" applyBorder="1" applyFont="1">
      <alignment horizontal="center" readingOrder="0"/>
    </xf>
    <xf borderId="5" fillId="0" fontId="30" numFmtId="164" xfId="0" applyAlignment="1" applyBorder="1" applyFont="1" applyNumberFormat="1">
      <alignment horizontal="center" readingOrder="0"/>
    </xf>
    <xf borderId="0" fillId="12" fontId="30" numFmtId="0" xfId="0" applyAlignment="1" applyFont="1">
      <alignment readingOrder="0"/>
    </xf>
    <xf borderId="0" fillId="0" fontId="30" numFmtId="0" xfId="0" applyAlignment="1" applyFont="1">
      <alignment readingOrder="0"/>
    </xf>
    <xf borderId="28" fillId="5" fontId="32" numFmtId="0" xfId="0" applyAlignment="1" applyBorder="1" applyFont="1">
      <alignment horizontal="center" readingOrder="0" vertical="bottom"/>
    </xf>
    <xf borderId="28" fillId="5" fontId="30" numFmtId="0" xfId="0" applyAlignment="1" applyBorder="1" applyFont="1">
      <alignment horizontal="center" readingOrder="0"/>
    </xf>
    <xf borderId="34" fillId="0" fontId="30" numFmtId="0" xfId="0" applyAlignment="1" applyBorder="1" applyFont="1">
      <alignment horizontal="center" readingOrder="0"/>
    </xf>
    <xf borderId="27" fillId="5" fontId="30" numFmtId="164" xfId="0" applyAlignment="1" applyBorder="1" applyFont="1" applyNumberFormat="1">
      <alignment horizontal="center" readingOrder="0"/>
    </xf>
    <xf borderId="27" fillId="5" fontId="30" numFmtId="0" xfId="0" applyAlignment="1" applyBorder="1" applyFont="1">
      <alignment horizontal="center" readingOrder="0"/>
    </xf>
    <xf borderId="34" fillId="5" fontId="30" numFmtId="0" xfId="0" applyAlignment="1" applyBorder="1" applyFont="1">
      <alignment horizontal="center"/>
    </xf>
    <xf borderId="27" fillId="5" fontId="30" numFmtId="9" xfId="0" applyAlignment="1" applyBorder="1" applyFont="1" applyNumberFormat="1">
      <alignment horizontal="center" readingOrder="0"/>
    </xf>
    <xf borderId="30" fillId="5" fontId="30" numFmtId="0" xfId="0" applyAlignment="1" applyBorder="1" applyFont="1">
      <alignment horizontal="center"/>
    </xf>
    <xf borderId="0" fillId="5" fontId="30" numFmtId="0" xfId="0" applyAlignment="1" applyFont="1">
      <alignment horizontal="center" readingOrder="0"/>
    </xf>
    <xf borderId="0" fillId="5" fontId="30" numFmtId="0" xfId="0" applyAlignment="1" applyFont="1">
      <alignment readingOrder="0"/>
    </xf>
    <xf borderId="4" fillId="0" fontId="5" numFmtId="164" xfId="0" applyAlignment="1" applyBorder="1" applyFont="1" applyNumberForma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0" fontId="5" numFmtId="168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0" fillId="9" fontId="30" numFmtId="0" xfId="0" applyAlignment="1" applyFont="1">
      <alignment horizontal="left" readingOrder="0"/>
    </xf>
    <xf borderId="7" fillId="0" fontId="30" numFmtId="169" xfId="0" applyAlignment="1" applyBorder="1" applyFont="1" applyNumberFormat="1">
      <alignment horizontal="center" readingOrder="0"/>
    </xf>
    <xf borderId="0" fillId="3" fontId="44" numFmtId="0" xfId="0" applyAlignment="1" applyFont="1">
      <alignment horizontal="center" readingOrder="0"/>
    </xf>
    <xf borderId="22" fillId="0" fontId="32" numFmtId="164" xfId="0" applyAlignment="1" applyBorder="1" applyFont="1" applyNumberFormat="1">
      <alignment horizontal="center" vertical="bottom"/>
    </xf>
    <xf borderId="17" fillId="0" fontId="32" numFmtId="0" xfId="0" applyAlignment="1" applyBorder="1" applyFont="1">
      <alignment horizontal="center" vertical="bottom"/>
    </xf>
    <xf borderId="23" fillId="3" fontId="32" numFmtId="0" xfId="0" applyAlignment="1" applyBorder="1" applyFont="1">
      <alignment horizontal="center" vertical="bottom"/>
    </xf>
    <xf borderId="23" fillId="0" fontId="32" numFmtId="0" xfId="0" applyAlignment="1" applyBorder="1" applyFont="1">
      <alignment horizontal="center" vertical="bottom"/>
    </xf>
    <xf borderId="24" fillId="0" fontId="32" numFmtId="0" xfId="0" applyAlignment="1" applyBorder="1" applyFont="1">
      <alignment horizontal="center" vertical="bottom"/>
    </xf>
    <xf borderId="25" fillId="0" fontId="32" numFmtId="0" xfId="0" applyAlignment="1" applyBorder="1" applyFont="1">
      <alignment horizontal="center" vertical="bottom"/>
    </xf>
    <xf borderId="26" fillId="0" fontId="32" numFmtId="0" xfId="0" applyAlignment="1" applyBorder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12" fontId="32" numFmtId="0" xfId="0" applyAlignment="1" applyFont="1">
      <alignment horizontal="center" vertical="bottom"/>
    </xf>
    <xf borderId="4" fillId="26" fontId="30" numFmtId="0" xfId="0" applyAlignment="1" applyBorder="1" applyFont="1">
      <alignment horizontal="center" readingOrder="0"/>
    </xf>
    <xf borderId="21" fillId="0" fontId="30" numFmtId="0" xfId="0" applyAlignment="1" applyBorder="1" applyFont="1">
      <alignment horizontal="center" readingOrder="0"/>
    </xf>
    <xf borderId="25" fillId="0" fontId="30" numFmtId="0" xfId="0" applyAlignment="1" applyBorder="1" applyFont="1">
      <alignment horizontal="center" readingOrder="0"/>
    </xf>
    <xf borderId="4" fillId="5" fontId="31" numFmtId="0" xfId="0" applyAlignment="1" applyBorder="1" applyFont="1">
      <alignment horizontal="center" readingOrder="0"/>
    </xf>
    <xf borderId="7" fillId="5" fontId="30" numFmtId="164" xfId="0" applyAlignment="1" applyBorder="1" applyFont="1" applyNumberFormat="1">
      <alignment horizontal="center" readingOrder="0"/>
    </xf>
    <xf borderId="4" fillId="5" fontId="0" numFmtId="0" xfId="0" applyAlignment="1" applyBorder="1" applyFont="1">
      <alignment horizontal="center" readingOrder="0"/>
    </xf>
    <xf borderId="4" fillId="0" fontId="32" numFmtId="165" xfId="0" applyAlignment="1" applyBorder="1" applyFont="1" applyNumberFormat="1">
      <alignment horizontal="center" vertical="bottom"/>
    </xf>
    <xf borderId="8" fillId="0" fontId="32" numFmtId="0" xfId="0" applyAlignment="1" applyBorder="1" applyFont="1">
      <alignment horizontal="center" vertical="bottom"/>
    </xf>
    <xf borderId="12" fillId="0" fontId="32" numFmtId="0" xfId="0" applyAlignment="1" applyBorder="1" applyFont="1">
      <alignment horizontal="center" vertical="bottom"/>
    </xf>
    <xf borderId="0" fillId="13" fontId="32" numFmtId="0" xfId="0" applyAlignment="1" applyFont="1">
      <alignment horizontal="center" vertical="bottom"/>
    </xf>
    <xf borderId="17" fillId="6" fontId="30" numFmtId="164" xfId="0" applyAlignment="1" applyBorder="1" applyFont="1" applyNumberFormat="1">
      <alignment horizontal="center" readingOrder="0"/>
    </xf>
    <xf borderId="4" fillId="3" fontId="45" numFmtId="0" xfId="0" applyAlignment="1" applyBorder="1" applyFont="1">
      <alignment horizontal="center" readingOrder="0"/>
    </xf>
    <xf borderId="4" fillId="6" fontId="37" numFmtId="0" xfId="0" applyAlignment="1" applyBorder="1" applyFont="1">
      <alignment horizontal="center" readingOrder="0"/>
    </xf>
    <xf borderId="32" fillId="6" fontId="30" numFmtId="0" xfId="0" applyAlignment="1" applyBorder="1" applyFont="1">
      <alignment horizontal="center" readingOrder="0"/>
    </xf>
    <xf borderId="7" fillId="6" fontId="30" numFmtId="0" xfId="0" applyAlignment="1" applyBorder="1" applyFont="1">
      <alignment horizontal="center" readingOrder="0"/>
    </xf>
    <xf borderId="18" fillId="6" fontId="30" numFmtId="0" xfId="0" applyAlignment="1" applyBorder="1" applyFont="1">
      <alignment horizontal="center"/>
    </xf>
    <xf borderId="0" fillId="6" fontId="30" numFmtId="0" xfId="0" applyAlignment="1" applyFont="1">
      <alignment horizontal="center" readingOrder="0"/>
    </xf>
    <xf borderId="0" fillId="0" fontId="23" numFmtId="20" xfId="0" applyAlignment="1" applyFont="1" applyNumberFormat="1">
      <alignment readingOrder="0"/>
    </xf>
    <xf borderId="0" fillId="0" fontId="23" numFmtId="167" xfId="0" applyAlignment="1" applyFont="1" applyNumberFormat="1">
      <alignment readingOrder="0" shrinkToFit="0" wrapText="1"/>
    </xf>
    <xf borderId="0" fillId="0" fontId="46" numFmtId="0" xfId="0" applyAlignment="1" applyFont="1">
      <alignment readingOrder="0"/>
    </xf>
    <xf borderId="9" fillId="3" fontId="30" numFmtId="0" xfId="0" applyAlignment="1" applyBorder="1" applyFont="1">
      <alignment horizontal="center" readingOrder="0"/>
    </xf>
    <xf borderId="12" fillId="4" fontId="30" numFmtId="0" xfId="0" applyAlignment="1" applyBorder="1" applyFont="1">
      <alignment horizontal="center" readingOrder="0"/>
    </xf>
    <xf borderId="13" fillId="5" fontId="30" numFmtId="0" xfId="0" applyAlignment="1" applyBorder="1" applyFont="1">
      <alignment horizontal="center" readingOrder="0"/>
    </xf>
    <xf borderId="0" fillId="21" fontId="30" numFmtId="0" xfId="0" applyAlignment="1" applyFont="1">
      <alignment horizontal="center" readingOrder="0"/>
    </xf>
    <xf borderId="19" fillId="0" fontId="30" numFmtId="164" xfId="0" applyAlignment="1" applyBorder="1" applyFont="1" applyNumberFormat="1">
      <alignment horizontal="center" readingOrder="0"/>
    </xf>
    <xf borderId="0" fillId="3" fontId="0" numFmtId="0" xfId="0" applyAlignment="1" applyFont="1">
      <alignment horizontal="center" readingOrder="0"/>
    </xf>
    <xf borderId="4" fillId="0" fontId="32" numFmtId="164" xfId="0" applyAlignment="1" applyBorder="1" applyFont="1" applyNumberFormat="1">
      <alignment horizontal="center" readingOrder="0" vertical="bottom"/>
    </xf>
    <xf borderId="8" fillId="0" fontId="32" numFmtId="0" xfId="0" applyAlignment="1" applyBorder="1" applyFont="1">
      <alignment horizontal="center" readingOrder="0" vertical="bottom"/>
    </xf>
    <xf borderId="0" fillId="15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5" fillId="3" fontId="29" numFmtId="0" xfId="0" applyAlignment="1" applyBorder="1" applyFont="1">
      <alignment readingOrder="0"/>
    </xf>
    <xf borderId="4" fillId="4" fontId="30" numFmtId="0" xfId="0" applyAlignment="1" applyBorder="1" applyFont="1">
      <alignment horizontal="center" readingOrder="0"/>
    </xf>
    <xf borderId="4" fillId="4" fontId="30" numFmtId="0" xfId="0" applyAlignment="1" applyBorder="1" applyFont="1">
      <alignment horizontal="center" readingOrder="0" shrinkToFit="0" wrapText="1"/>
    </xf>
    <xf borderId="4" fillId="8" fontId="32" numFmtId="164" xfId="0" applyAlignment="1" applyBorder="1" applyFont="1" applyNumberFormat="1">
      <alignment horizontal="center" vertical="bottom"/>
    </xf>
    <xf borderId="4" fillId="8" fontId="32" numFmtId="0" xfId="0" applyAlignment="1" applyBorder="1" applyFont="1">
      <alignment horizontal="center" vertical="bottom"/>
    </xf>
    <xf borderId="4" fillId="3" fontId="32" numFmtId="0" xfId="0" applyAlignment="1" applyBorder="1" applyFont="1">
      <alignment horizontal="center" vertical="bottom"/>
    </xf>
    <xf borderId="4" fillId="8" fontId="32" numFmtId="0" xfId="0" applyAlignment="1" applyBorder="1" applyFont="1">
      <alignment vertical="bottom"/>
    </xf>
    <xf borderId="4" fillId="8" fontId="32" numFmtId="0" xfId="0" applyAlignment="1" applyBorder="1" applyFont="1">
      <alignment vertical="bottom"/>
    </xf>
    <xf borderId="4" fillId="15" fontId="32" numFmtId="0" xfId="0" applyAlignment="1" applyBorder="1" applyFont="1">
      <alignment horizontal="center" vertical="bottom"/>
    </xf>
    <xf borderId="4" fillId="29" fontId="30" numFmtId="0" xfId="0" applyAlignment="1" applyBorder="1" applyFont="1">
      <alignment readingOrder="0"/>
    </xf>
    <xf borderId="4" fillId="0" fontId="29" numFmtId="0" xfId="0" applyAlignment="1" applyBorder="1" applyFont="1">
      <alignment horizontal="center" readingOrder="0"/>
    </xf>
    <xf borderId="4" fillId="8" fontId="30" numFmtId="0" xfId="0" applyAlignment="1" applyBorder="1" applyFont="1">
      <alignment readingOrder="0"/>
    </xf>
    <xf borderId="4" fillId="5" fontId="30" numFmtId="164" xfId="0" applyAlignment="1" applyBorder="1" applyFont="1" applyNumberFormat="1">
      <alignment horizontal="center" readingOrder="0"/>
    </xf>
    <xf borderId="4" fillId="5" fontId="30" numFmtId="0" xfId="0" applyAlignment="1" applyBorder="1" applyFont="1">
      <alignment horizontal="center"/>
    </xf>
    <xf borderId="4" fillId="5" fontId="30" numFmtId="0" xfId="0" applyAlignment="1" applyBorder="1" applyFont="1">
      <alignment readingOrder="0"/>
    </xf>
    <xf borderId="4" fillId="9" fontId="30" numFmtId="0" xfId="0" applyAlignment="1" applyBorder="1" applyFont="1">
      <alignment readingOrder="0"/>
    </xf>
    <xf borderId="4" fillId="8" fontId="32" numFmtId="165" xfId="0" applyAlignment="1" applyBorder="1" applyFont="1" applyNumberFormat="1">
      <alignment horizontal="center" vertical="bottom"/>
    </xf>
    <xf borderId="4" fillId="12" fontId="30" numFmtId="0" xfId="0" applyAlignment="1" applyBorder="1" applyFont="1">
      <alignment readingOrder="0"/>
    </xf>
    <xf borderId="4" fillId="28" fontId="30" numFmtId="0" xfId="0" applyAlignment="1" applyBorder="1" applyFont="1">
      <alignment readingOrder="0"/>
    </xf>
    <xf borderId="4" fillId="8" fontId="47" numFmtId="0" xfId="0" applyAlignment="1" applyBorder="1" applyFont="1">
      <alignment horizontal="center" readingOrder="0"/>
    </xf>
    <xf borderId="0" fillId="3" fontId="0" numFmtId="0" xfId="0" applyAlignment="1" applyFont="1">
      <alignment horizontal="center"/>
    </xf>
    <xf borderId="4" fillId="3" fontId="48" numFmtId="0" xfId="0" applyAlignment="1" applyBorder="1" applyFont="1">
      <alignment horizontal="center" readingOrder="0" shrinkToFit="0" wrapText="0"/>
    </xf>
    <xf borderId="4" fillId="3" fontId="49" numFmtId="0" xfId="0" applyAlignment="1" applyBorder="1" applyFont="1">
      <alignment horizontal="center" readingOrder="0"/>
    </xf>
    <xf borderId="4" fillId="3" fontId="50" numFmtId="0" xfId="0" applyAlignment="1" applyBorder="1" applyFont="1">
      <alignment horizontal="center" readingOrder="0" vertical="bottom"/>
    </xf>
    <xf borderId="0" fillId="0" fontId="29" numFmtId="0" xfId="0" applyAlignment="1" applyFont="1">
      <alignment horizontal="center" readingOrder="0"/>
    </xf>
    <xf borderId="4" fillId="20" fontId="35" numFmtId="0" xfId="0" applyAlignment="1" applyBorder="1" applyFont="1">
      <alignment horizontal="center" readingOrder="0"/>
    </xf>
    <xf borderId="4" fillId="3" fontId="44" numFmtId="0" xfId="0" applyAlignment="1" applyBorder="1" applyFont="1">
      <alignment horizontal="center" readingOrder="0"/>
    </xf>
    <xf borderId="4" fillId="3" fontId="51" numFmtId="0" xfId="0" applyAlignment="1" applyBorder="1" applyFont="1">
      <alignment horizontal="center" readingOrder="0"/>
    </xf>
    <xf borderId="4" fillId="27" fontId="49" numFmtId="0" xfId="0" applyAlignment="1" applyBorder="1" applyFont="1">
      <alignment horizontal="center" readingOrder="0"/>
    </xf>
    <xf borderId="4" fillId="3" fontId="30" numFmtId="0" xfId="0" applyAlignment="1" applyBorder="1" applyFont="1">
      <alignment horizontal="center"/>
    </xf>
    <xf borderId="4" fillId="3" fontId="29" numFmtId="0" xfId="0" applyAlignment="1" applyBorder="1" applyFont="1">
      <alignment horizontal="center" readingOrder="0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center" readingOrder="0" shrinkToFit="0" wrapText="1"/>
    </xf>
    <xf borderId="0" fillId="9" fontId="29" numFmtId="0" xfId="0" applyAlignment="1" applyFont="1">
      <alignment horizontal="center" readingOrder="0"/>
    </xf>
    <xf borderId="0" fillId="0" fontId="30" numFmtId="164" xfId="0" applyAlignment="1" applyFont="1" applyNumberForma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0" numFmtId="20" xfId="0" applyAlignment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8" fontId="41" numFmtId="0" xfId="0" applyAlignment="1" applyFont="1">
      <alignment horizontal="center" readingOrder="0"/>
    </xf>
    <xf borderId="4" fillId="19" fontId="30" numFmtId="0" xfId="0" applyAlignment="1" applyBorder="1" applyFont="1">
      <alignment horizontal="center" readingOrder="0"/>
    </xf>
    <xf borderId="4" fillId="19" fontId="30" numFmtId="164" xfId="0" applyAlignment="1" applyBorder="1" applyFont="1" applyNumberFormat="1">
      <alignment horizontal="center" readingOrder="0"/>
    </xf>
    <xf borderId="4" fillId="19" fontId="30" numFmtId="0" xfId="0" applyAlignment="1" applyBorder="1" applyFont="1">
      <alignment horizontal="center"/>
    </xf>
    <xf borderId="0" fillId="19" fontId="30" numFmtId="0" xfId="0" applyAlignment="1" applyFont="1">
      <alignment horizontal="center" readingOrder="0"/>
    </xf>
    <xf borderId="0" fillId="19" fontId="30" numFmtId="0" xfId="0" applyAlignment="1" applyFont="1">
      <alignment horizontal="center"/>
    </xf>
    <xf borderId="0" fillId="19" fontId="6" numFmtId="0" xfId="0" applyFont="1"/>
    <xf borderId="4" fillId="3" fontId="52" numFmtId="0" xfId="0" applyAlignment="1" applyBorder="1" applyFont="1">
      <alignment horizontal="center" readingOrder="0"/>
    </xf>
    <xf borderId="4" fillId="5" fontId="32" numFmtId="164" xfId="0" applyAlignment="1" applyBorder="1" applyFont="1" applyNumberFormat="1">
      <alignment horizontal="center" readingOrder="0" vertical="bottom"/>
    </xf>
    <xf borderId="4" fillId="3" fontId="53" numFmtId="0" xfId="0" applyAlignment="1" applyBorder="1" applyFont="1">
      <alignment horizontal="center" readingOrder="0" vertical="bottom"/>
    </xf>
    <xf borderId="4" fillId="5" fontId="32" numFmtId="0" xfId="0" applyAlignment="1" applyBorder="1" applyFont="1">
      <alignment horizontal="center" vertical="bottom"/>
    </xf>
    <xf borderId="4" fillId="10" fontId="32" numFmtId="0" xfId="0" applyAlignment="1" applyBorder="1" applyFont="1">
      <alignment horizontal="center" readingOrder="0"/>
    </xf>
    <xf borderId="4" fillId="0" fontId="29" numFmtId="164" xfId="0" applyAlignment="1" applyBorder="1" applyFont="1" applyNumberFormat="1">
      <alignment horizontal="center" readingOrder="0"/>
    </xf>
    <xf borderId="4" fillId="0" fontId="32" numFmtId="164" xfId="0" applyAlignment="1" applyBorder="1" applyFont="1" applyNumberFormat="1">
      <alignment horizontal="center" readingOrder="0"/>
    </xf>
    <xf borderId="4" fillId="0" fontId="50" numFmtId="0" xfId="0" applyAlignment="1" applyBorder="1" applyFont="1">
      <alignment horizontal="center" readingOrder="0"/>
    </xf>
    <xf borderId="0" fillId="9" fontId="35" numFmtId="0" xfId="0" applyAlignment="1" applyFont="1">
      <alignment horizontal="center" readingOrder="0"/>
    </xf>
    <xf borderId="4" fillId="0" fontId="46" numFmtId="0" xfId="0" applyAlignment="1" applyBorder="1" applyFont="1">
      <alignment readingOrder="0"/>
    </xf>
    <xf borderId="8" fillId="0" fontId="30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0" fillId="13" fontId="6" numFmtId="0" xfId="0" applyAlignment="1" applyFont="1">
      <alignment readingOrder="0"/>
    </xf>
    <xf borderId="7" fillId="0" fontId="6" numFmtId="164" xfId="0" applyAlignment="1" applyBorder="1" applyFont="1" applyNumberFormat="1">
      <alignment readingOrder="0"/>
    </xf>
    <xf borderId="0" fillId="0" fontId="27" numFmtId="0" xfId="0" applyAlignment="1" applyFont="1">
      <alignment readingOrder="0"/>
    </xf>
    <xf borderId="5" fillId="0" fontId="6" numFmtId="0" xfId="0" applyBorder="1" applyFont="1"/>
    <xf borderId="36" fillId="0" fontId="6" numFmtId="0" xfId="0" applyBorder="1" applyFont="1"/>
    <xf borderId="22" fillId="0" fontId="6" numFmtId="0" xfId="0" applyAlignment="1" applyBorder="1" applyFont="1">
      <alignment readingOrder="0"/>
    </xf>
    <xf borderId="34" fillId="0" fontId="6" numFmtId="0" xfId="0" applyBorder="1" applyFont="1"/>
    <xf borderId="9" fillId="3" fontId="54" numFmtId="0" xfId="0" applyAlignment="1" applyBorder="1" applyFont="1">
      <alignment readingOrder="0" vertical="bottom"/>
    </xf>
    <xf borderId="0" fillId="7" fontId="55" numFmtId="0" xfId="0" applyAlignment="1" applyFont="1">
      <alignment horizontal="center"/>
    </xf>
    <xf borderId="8" fillId="4" fontId="56" numFmtId="0" xfId="0" applyAlignment="1" applyBorder="1" applyFont="1">
      <alignment vertical="bottom"/>
    </xf>
    <xf borderId="8" fillId="4" fontId="56" numFmtId="0" xfId="0" applyAlignment="1" applyBorder="1" applyFont="1">
      <alignment shrinkToFit="0" vertical="bottom" wrapText="1"/>
    </xf>
    <xf borderId="12" fillId="4" fontId="56" numFmtId="0" xfId="0" applyAlignment="1" applyBorder="1" applyFont="1">
      <alignment vertical="bottom"/>
    </xf>
    <xf borderId="13" fillId="5" fontId="56" numFmtId="0" xfId="0" applyAlignment="1" applyBorder="1" applyFont="1">
      <alignment vertical="bottom"/>
    </xf>
    <xf borderId="14" fillId="6" fontId="5" numFmtId="0" xfId="0" applyAlignment="1" applyBorder="1" applyFont="1">
      <alignment vertical="bottom"/>
    </xf>
    <xf borderId="15" fillId="6" fontId="5" numFmtId="0" xfId="0" applyAlignment="1" applyBorder="1" applyFont="1">
      <alignment vertical="bottom"/>
    </xf>
    <xf borderId="16" fillId="0" fontId="5" numFmtId="0" xfId="0" applyAlignment="1" applyBorder="1" applyFont="1">
      <alignment horizontal="right" vertical="bottom"/>
    </xf>
    <xf borderId="17" fillId="0" fontId="5" numFmtId="164" xfId="0" applyAlignment="1" applyBorder="1" applyFont="1" applyNumberFormat="1">
      <alignment horizontal="center" readingOrder="0" vertical="bottom"/>
    </xf>
    <xf borderId="17" fillId="0" fontId="5" numFmtId="0" xfId="0" applyAlignment="1" applyBorder="1" applyFont="1">
      <alignment horizontal="center" readingOrder="0" vertical="bottom"/>
    </xf>
    <xf borderId="4" fillId="5" fontId="18" numFmtId="0" xfId="0" applyAlignment="1" applyBorder="1" applyFont="1">
      <alignment horizontal="center" readingOrder="0" vertical="bottom"/>
    </xf>
    <xf borderId="37" fillId="30" fontId="32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19" fillId="0" fontId="5" numFmtId="0" xfId="0" applyAlignment="1" applyBorder="1" applyFont="1">
      <alignment horizontal="right" vertical="bottom"/>
    </xf>
    <xf borderId="7" fillId="0" fontId="5" numFmtId="164" xfId="0" applyAlignment="1" applyBorder="1" applyFont="1" applyNumberForma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21" fillId="0" fontId="5" numFmtId="0" xfId="0" applyAlignment="1" applyBorder="1" applyFont="1">
      <alignment horizontal="right" vertical="bottom"/>
    </xf>
    <xf borderId="27" fillId="0" fontId="5" numFmtId="0" xfId="0" applyAlignment="1" applyBorder="1" applyFont="1">
      <alignment vertical="bottom"/>
    </xf>
    <xf borderId="28" fillId="0" fontId="5" numFmtId="0" xfId="0" applyAlignment="1" applyBorder="1" applyFont="1">
      <alignment vertical="bottom"/>
    </xf>
    <xf borderId="29" fillId="0" fontId="5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30" fillId="0" fontId="5" numFmtId="0" xfId="0" applyAlignment="1" applyBorder="1" applyFont="1">
      <alignment vertical="bottom"/>
    </xf>
    <xf borderId="8" fillId="4" fontId="56" numFmtId="0" xfId="0" applyAlignment="1" applyBorder="1" applyFont="1">
      <alignment vertical="bottom"/>
    </xf>
    <xf borderId="8" fillId="4" fontId="56" numFmtId="0" xfId="0" applyAlignment="1" applyBorder="1" applyFont="1">
      <alignment shrinkToFit="0" vertical="bottom" wrapText="1"/>
    </xf>
    <xf borderId="12" fillId="4" fontId="56" numFmtId="0" xfId="0" applyAlignment="1" applyBorder="1" applyFont="1">
      <alignment vertical="bottom"/>
    </xf>
    <xf borderId="13" fillId="5" fontId="56" numFmtId="0" xfId="0" applyAlignment="1" applyBorder="1" applyFont="1">
      <alignment vertical="bottom"/>
    </xf>
    <xf borderId="16" fillId="0" fontId="5" numFmtId="0" xfId="0" applyAlignment="1" applyBorder="1" applyFont="1">
      <alignment horizontal="right" vertical="bottom"/>
    </xf>
    <xf borderId="17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right" vertical="bottom"/>
    </xf>
    <xf borderId="21" fillId="0" fontId="5" numFmtId="0" xfId="0" applyAlignment="1" applyBorder="1" applyFont="1">
      <alignment horizontal="right" vertical="bottom"/>
    </xf>
    <xf borderId="28" fillId="0" fontId="5" numFmtId="0" xfId="0" applyAlignment="1" applyBorder="1" applyFont="1">
      <alignment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31" fontId="57" numFmtId="0" xfId="0" applyAlignment="1" applyFill="1" applyFont="1">
      <alignment horizontal="left" shrinkToFit="0" vertical="center" wrapText="0"/>
    </xf>
    <xf borderId="0" fillId="0" fontId="6" numFmtId="0" xfId="0" applyFont="1"/>
    <xf borderId="0" fillId="0" fontId="6" numFmtId="0" xfId="0" applyFont="1"/>
    <xf borderId="0" fillId="0" fontId="34" numFmtId="0" xfId="0" applyAlignment="1" applyFont="1">
      <alignment horizontal="left"/>
    </xf>
    <xf borderId="4" fillId="0" fontId="58" numFmtId="0" xfId="0" applyAlignment="1" applyBorder="1" applyFont="1">
      <alignment horizontal="left"/>
    </xf>
    <xf borderId="4" fillId="0" fontId="58" numFmtId="0" xfId="0" applyAlignment="1" applyBorder="1" applyFont="1">
      <alignment horizontal="left"/>
    </xf>
    <xf borderId="4" fillId="0" fontId="34" numFmtId="0" xfId="0" applyAlignment="1" applyBorder="1" applyFont="1">
      <alignment horizontal="left" readingOrder="0" vertical="center"/>
    </xf>
    <xf borderId="0" fillId="25" fontId="59" numFmtId="0" xfId="0" applyAlignment="1" applyFont="1">
      <alignment readingOrder="0"/>
    </xf>
    <xf borderId="4" fillId="8" fontId="60" numFmtId="0" xfId="0" applyAlignment="1" applyBorder="1" applyFont="1">
      <alignment horizontal="center" readingOrder="0"/>
    </xf>
    <xf borderId="13" fillId="3" fontId="30" numFmtId="0" xfId="0" applyAlignment="1" applyBorder="1" applyFont="1">
      <alignment horizontal="center" readingOrder="0"/>
    </xf>
    <xf borderId="0" fillId="12" fontId="6" numFmtId="0" xfId="0" applyAlignment="1" applyFont="1">
      <alignment readingOrder="0"/>
    </xf>
    <xf borderId="0" fillId="8" fontId="61" numFmtId="0" xfId="0" applyAlignment="1" applyFon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4" fillId="8" fontId="6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t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Таблица1" name="Таблица1" id="1">
  <tableColumns count="4">
    <tableColumn name="Столбец 1" id="1"/>
    <tableColumn name="Количество групп" id="2"/>
    <tableColumn name="Общее кол-во учеников" id="3"/>
    <tableColumn name="Общая выручка (K)" id="4"/>
  </tableColumns>
  <tableStyleInfo name="to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FF9900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7.38"/>
    <col customWidth="1" min="3" max="3" width="23.25"/>
    <col customWidth="1" min="4" max="4" width="32.88"/>
    <col customWidth="1" min="5" max="5" width="38.75"/>
    <col customWidth="1" min="6" max="6" width="44.13"/>
    <col customWidth="1" min="7" max="7" width="17.88"/>
    <col customWidth="1" min="8" max="8" width="14.38"/>
    <col customWidth="1" min="9" max="9" width="21.38"/>
    <col customWidth="1" min="12" max="12" width="11.5"/>
    <col customWidth="1" min="13" max="13" width="40.13"/>
    <col customWidth="1" min="15" max="15" width="2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8" t="s">
        <v>8</v>
      </c>
      <c r="I2" s="9" t="s">
        <v>9</v>
      </c>
      <c r="J2" s="10" t="s">
        <v>10</v>
      </c>
      <c r="K2" s="10" t="s">
        <v>11</v>
      </c>
      <c r="L2" s="10" t="s">
        <v>12</v>
      </c>
      <c r="M2" s="11">
        <f>SUM(H3:H17)</f>
        <v>364000</v>
      </c>
      <c r="N2" s="12"/>
    </row>
    <row r="3">
      <c r="A3" s="13">
        <v>1.0</v>
      </c>
      <c r="B3" s="14"/>
      <c r="C3" s="13">
        <v>10000.0</v>
      </c>
      <c r="D3" s="15" t="s">
        <v>13</v>
      </c>
      <c r="E3" s="13">
        <v>7.7000205E8</v>
      </c>
      <c r="F3" s="16"/>
      <c r="G3" s="16"/>
      <c r="H3" s="13">
        <v>10000.0</v>
      </c>
      <c r="I3" s="17"/>
      <c r="J3" s="17"/>
      <c r="K3" s="17"/>
      <c r="L3" s="17"/>
      <c r="M3" s="12"/>
      <c r="N3" s="12"/>
    </row>
    <row r="4">
      <c r="A4" s="13">
        <v>2.0</v>
      </c>
      <c r="B4" s="14"/>
      <c r="C4" s="13">
        <v>10000.0</v>
      </c>
      <c r="D4" s="15" t="s">
        <v>14</v>
      </c>
      <c r="E4" s="13">
        <v>5.07962628E8</v>
      </c>
      <c r="F4" s="13" t="s">
        <v>15</v>
      </c>
      <c r="G4" s="16"/>
      <c r="H4" s="13">
        <v>30000.0</v>
      </c>
      <c r="I4" s="17"/>
      <c r="J4" s="18">
        <v>10000.0</v>
      </c>
      <c r="K4" s="18">
        <v>10000.0</v>
      </c>
      <c r="L4" s="18">
        <v>10000.0</v>
      </c>
      <c r="M4" s="12"/>
      <c r="N4" s="12"/>
    </row>
    <row r="5">
      <c r="A5" s="19">
        <v>3.0</v>
      </c>
      <c r="B5" s="20">
        <v>46178.0</v>
      </c>
      <c r="C5" s="19">
        <v>26000.0</v>
      </c>
      <c r="D5" s="19" t="s">
        <v>16</v>
      </c>
      <c r="E5" s="19">
        <v>9.96551200095E11</v>
      </c>
      <c r="F5" s="19">
        <v>9.9655295055E11</v>
      </c>
      <c r="G5" s="21"/>
      <c r="H5" s="19">
        <v>26000.0</v>
      </c>
      <c r="I5" s="17"/>
      <c r="J5" s="18">
        <v>6000.0</v>
      </c>
      <c r="K5" s="18">
        <v>10000.0</v>
      </c>
      <c r="L5" s="18">
        <v>10000.0</v>
      </c>
      <c r="M5" s="12"/>
      <c r="N5" s="12"/>
    </row>
    <row r="6">
      <c r="A6" s="13">
        <v>4.0</v>
      </c>
      <c r="B6" s="22">
        <v>46153.0</v>
      </c>
      <c r="C6" s="13">
        <v>9333.0</v>
      </c>
      <c r="D6" s="15" t="s">
        <v>17</v>
      </c>
      <c r="E6" s="13">
        <v>5.01111864E8</v>
      </c>
      <c r="F6" s="23" t="s">
        <v>18</v>
      </c>
      <c r="G6" s="16"/>
      <c r="H6" s="13">
        <v>28000.0</v>
      </c>
      <c r="I6" s="17"/>
      <c r="J6" s="18">
        <v>9333.0</v>
      </c>
      <c r="K6" s="18">
        <v>9333.0</v>
      </c>
      <c r="L6" s="18">
        <v>9333.0</v>
      </c>
      <c r="M6" s="24" t="s">
        <v>19</v>
      </c>
      <c r="N6" s="25" t="s">
        <v>20</v>
      </c>
    </row>
    <row r="7">
      <c r="A7" s="13">
        <v>5.0</v>
      </c>
      <c r="B7" s="14"/>
      <c r="C7" s="13">
        <v>10000.0</v>
      </c>
      <c r="D7" s="26" t="s">
        <v>21</v>
      </c>
      <c r="E7" s="13">
        <v>9.95200815E8</v>
      </c>
      <c r="F7" s="16"/>
      <c r="G7" s="16"/>
      <c r="H7" s="13">
        <v>10000.0</v>
      </c>
      <c r="I7" s="17"/>
      <c r="J7" s="18">
        <v>10000.0</v>
      </c>
      <c r="K7" s="18">
        <v>10000.0</v>
      </c>
      <c r="L7" s="17"/>
      <c r="M7" s="24" t="s">
        <v>19</v>
      </c>
      <c r="N7" s="12"/>
    </row>
    <row r="8">
      <c r="A8" s="13">
        <v>6.0</v>
      </c>
      <c r="B8" s="22">
        <v>46148.0</v>
      </c>
      <c r="C8" s="13">
        <v>9333.0</v>
      </c>
      <c r="D8" s="27" t="s">
        <v>22</v>
      </c>
      <c r="E8" s="23">
        <v>5.02436017E8</v>
      </c>
      <c r="F8" s="23" t="s">
        <v>23</v>
      </c>
      <c r="G8" s="16"/>
      <c r="H8" s="13">
        <v>28000.0</v>
      </c>
      <c r="I8" s="17"/>
      <c r="J8" s="18">
        <v>9333.0</v>
      </c>
      <c r="K8" s="18">
        <v>9333.0</v>
      </c>
      <c r="L8" s="18">
        <v>9333.0</v>
      </c>
      <c r="M8" s="24" t="s">
        <v>19</v>
      </c>
      <c r="N8" s="25" t="s">
        <v>20</v>
      </c>
    </row>
    <row r="9">
      <c r="A9" s="13">
        <v>7.0</v>
      </c>
      <c r="B9" s="28">
        <v>46148.0</v>
      </c>
      <c r="C9" s="13">
        <v>9333.0</v>
      </c>
      <c r="D9" s="15" t="s">
        <v>24</v>
      </c>
      <c r="E9" s="13">
        <v>5.52055729E8</v>
      </c>
      <c r="F9" s="13">
        <v>7.72732388E8</v>
      </c>
      <c r="G9" s="16"/>
      <c r="H9" s="13">
        <v>28000.0</v>
      </c>
      <c r="I9" s="17"/>
      <c r="J9" s="18">
        <v>9333.0</v>
      </c>
      <c r="K9" s="18">
        <v>9333.0</v>
      </c>
      <c r="L9" s="18">
        <v>9333.0</v>
      </c>
      <c r="M9" s="24" t="s">
        <v>19</v>
      </c>
      <c r="N9" s="29" t="s">
        <v>25</v>
      </c>
    </row>
    <row r="10">
      <c r="A10" s="13">
        <v>8.0</v>
      </c>
      <c r="B10" s="28">
        <v>46149.0</v>
      </c>
      <c r="C10" s="13">
        <v>10000.0</v>
      </c>
      <c r="D10" s="15" t="s">
        <v>26</v>
      </c>
      <c r="E10" s="13">
        <v>7.04144812E8</v>
      </c>
      <c r="F10" s="13" t="s">
        <v>27</v>
      </c>
      <c r="G10" s="16"/>
      <c r="H10" s="13">
        <v>15000.0</v>
      </c>
      <c r="I10" s="17"/>
      <c r="J10" s="18">
        <v>5000.0</v>
      </c>
      <c r="K10" s="18">
        <v>5000.0</v>
      </c>
      <c r="L10" s="18">
        <v>5000.0</v>
      </c>
      <c r="M10" s="24" t="s">
        <v>19</v>
      </c>
      <c r="N10" s="29" t="s">
        <v>25</v>
      </c>
      <c r="O10" s="30" t="s">
        <v>28</v>
      </c>
    </row>
    <row r="11">
      <c r="A11" s="13">
        <v>9.0</v>
      </c>
      <c r="B11" s="28">
        <v>46148.0</v>
      </c>
      <c r="C11" s="13">
        <v>9333.0</v>
      </c>
      <c r="D11" s="15" t="s">
        <v>29</v>
      </c>
      <c r="E11" s="13" t="s">
        <v>30</v>
      </c>
      <c r="F11" s="13" t="s">
        <v>31</v>
      </c>
      <c r="G11" s="16"/>
      <c r="H11" s="13">
        <v>28000.0</v>
      </c>
      <c r="I11" s="17"/>
      <c r="J11" s="18">
        <v>9333.0</v>
      </c>
      <c r="K11" s="18">
        <v>9333.0</v>
      </c>
      <c r="L11" s="18">
        <v>9333.0</v>
      </c>
      <c r="M11" s="24" t="s">
        <v>19</v>
      </c>
      <c r="N11" s="31" t="s">
        <v>32</v>
      </c>
      <c r="Q11" s="32"/>
    </row>
    <row r="12">
      <c r="A12" s="13">
        <v>10.0</v>
      </c>
      <c r="B12" s="28">
        <v>46150.0</v>
      </c>
      <c r="C12" s="13">
        <v>10000.0</v>
      </c>
      <c r="D12" s="15" t="s">
        <v>33</v>
      </c>
      <c r="E12" s="13" t="s">
        <v>34</v>
      </c>
      <c r="F12" s="13" t="s">
        <v>35</v>
      </c>
      <c r="G12" s="16"/>
      <c r="H12" s="13">
        <v>30000.0</v>
      </c>
      <c r="I12" s="17"/>
      <c r="J12" s="18">
        <v>15000.0</v>
      </c>
      <c r="K12" s="18"/>
      <c r="L12" s="18"/>
      <c r="M12" s="24" t="s">
        <v>19</v>
      </c>
      <c r="N12" s="31" t="s">
        <v>32</v>
      </c>
      <c r="Q12" s="32"/>
    </row>
    <row r="13">
      <c r="A13" s="13">
        <v>11.0</v>
      </c>
      <c r="B13" s="28">
        <v>46149.0</v>
      </c>
      <c r="C13" s="13">
        <v>10000.0</v>
      </c>
      <c r="D13" s="15" t="s">
        <v>36</v>
      </c>
      <c r="E13" s="13" t="s">
        <v>37</v>
      </c>
      <c r="F13" s="13" t="s">
        <v>38</v>
      </c>
      <c r="G13" s="16"/>
      <c r="H13" s="13">
        <v>30000.0</v>
      </c>
      <c r="I13" s="17"/>
      <c r="J13" s="18">
        <v>10000.0</v>
      </c>
      <c r="K13" s="18">
        <v>10000.0</v>
      </c>
      <c r="L13" s="18">
        <v>10000.0</v>
      </c>
      <c r="M13" s="24" t="s">
        <v>19</v>
      </c>
      <c r="N13" s="31" t="s">
        <v>32</v>
      </c>
      <c r="Q13" s="32"/>
    </row>
    <row r="14">
      <c r="A14" s="13">
        <v>12.0</v>
      </c>
      <c r="B14" s="28">
        <v>46150.0</v>
      </c>
      <c r="C14" s="13">
        <v>10000.0</v>
      </c>
      <c r="D14" s="15" t="s">
        <v>39</v>
      </c>
      <c r="E14" s="13" t="s">
        <v>40</v>
      </c>
      <c r="F14" s="13" t="s">
        <v>41</v>
      </c>
      <c r="G14" s="16"/>
      <c r="H14" s="13">
        <v>30000.0</v>
      </c>
      <c r="I14" s="17"/>
      <c r="J14" s="18">
        <v>10000.0</v>
      </c>
      <c r="K14" s="18">
        <v>10000.0</v>
      </c>
      <c r="L14" s="18">
        <v>10000.0</v>
      </c>
      <c r="M14" s="24" t="s">
        <v>19</v>
      </c>
      <c r="N14" s="31" t="s">
        <v>32</v>
      </c>
      <c r="Q14" s="32"/>
    </row>
    <row r="15">
      <c r="A15" s="13">
        <v>13.0</v>
      </c>
      <c r="B15" s="28">
        <v>46153.0</v>
      </c>
      <c r="C15" s="13">
        <v>9333.0</v>
      </c>
      <c r="D15" s="15" t="s">
        <v>42</v>
      </c>
      <c r="E15" s="13">
        <v>5.0991598E8</v>
      </c>
      <c r="F15" s="13">
        <v>9.99231185E8</v>
      </c>
      <c r="G15" s="16"/>
      <c r="H15" s="13">
        <v>28000.0</v>
      </c>
      <c r="I15" s="17"/>
      <c r="J15" s="18">
        <v>9333.0</v>
      </c>
      <c r="K15" s="18">
        <v>9333.0</v>
      </c>
      <c r="L15" s="18">
        <v>9333.0</v>
      </c>
      <c r="M15" s="24" t="s">
        <v>19</v>
      </c>
      <c r="N15" s="29" t="s">
        <v>25</v>
      </c>
    </row>
    <row r="16">
      <c r="A16" s="33">
        <v>14.0</v>
      </c>
      <c r="B16" s="34">
        <v>46153.0</v>
      </c>
      <c r="C16" s="33">
        <v>15000.0</v>
      </c>
      <c r="D16" s="35" t="s">
        <v>43</v>
      </c>
      <c r="E16" s="33">
        <v>5.02906737E8</v>
      </c>
      <c r="F16" s="36" t="s">
        <v>44</v>
      </c>
      <c r="G16" s="37"/>
      <c r="H16" s="38">
        <v>15000.0</v>
      </c>
      <c r="I16" s="39"/>
      <c r="J16" s="39"/>
      <c r="K16" s="39"/>
      <c r="L16" s="39"/>
      <c r="M16" s="40"/>
      <c r="N16" s="41" t="s">
        <v>20</v>
      </c>
    </row>
    <row r="17">
      <c r="A17" s="38">
        <v>15.0</v>
      </c>
      <c r="B17" s="42">
        <v>46153.0</v>
      </c>
      <c r="C17" s="38">
        <v>9333.0</v>
      </c>
      <c r="D17" s="43" t="s">
        <v>45</v>
      </c>
      <c r="E17" s="38" t="s">
        <v>46</v>
      </c>
      <c r="F17" s="38">
        <v>7.72158303E8</v>
      </c>
      <c r="G17" s="44"/>
      <c r="H17" s="13">
        <v>28000.0</v>
      </c>
      <c r="I17" s="45"/>
      <c r="J17" s="45"/>
      <c r="K17" s="45"/>
      <c r="L17" s="45"/>
      <c r="M17" s="45"/>
      <c r="N17" s="41" t="s">
        <v>20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46" t="s">
        <v>47</v>
      </c>
      <c r="B19" s="47"/>
      <c r="C19" s="47"/>
      <c r="D19" s="47"/>
      <c r="E19" s="47"/>
      <c r="F19" s="47"/>
      <c r="G19" s="47"/>
      <c r="H19" s="47"/>
      <c r="I19" s="47"/>
      <c r="J19" s="48"/>
      <c r="K19" s="4"/>
      <c r="L19" s="4"/>
      <c r="M19" s="11">
        <f>SUM(H20:H34)</f>
        <v>262000</v>
      </c>
      <c r="N19" s="5"/>
    </row>
    <row r="20">
      <c r="A20" s="49" t="s">
        <v>1</v>
      </c>
      <c r="B20" s="49" t="s">
        <v>2</v>
      </c>
      <c r="C20" s="49" t="s">
        <v>3</v>
      </c>
      <c r="D20" s="49" t="s">
        <v>4</v>
      </c>
      <c r="E20" s="49" t="s">
        <v>5</v>
      </c>
      <c r="F20" s="50" t="s">
        <v>6</v>
      </c>
      <c r="G20" s="49" t="s">
        <v>7</v>
      </c>
      <c r="H20" s="8" t="s">
        <v>8</v>
      </c>
      <c r="I20" s="51" t="s">
        <v>48</v>
      </c>
      <c r="J20" s="51" t="s">
        <v>49</v>
      </c>
      <c r="K20" s="51"/>
      <c r="L20" s="51"/>
      <c r="M20" s="5"/>
      <c r="N20" s="5"/>
    </row>
    <row r="21">
      <c r="A21" s="13">
        <v>1.0</v>
      </c>
      <c r="B21" s="28">
        <v>46150.0</v>
      </c>
      <c r="C21" s="13">
        <v>10000.0</v>
      </c>
      <c r="D21" s="15" t="s">
        <v>50</v>
      </c>
      <c r="E21" s="13">
        <f>E22</f>
        <v>220692705</v>
      </c>
      <c r="F21" s="13">
        <v>5.04586234E8</v>
      </c>
      <c r="G21" s="16"/>
      <c r="H21" s="13">
        <v>28000.0</v>
      </c>
      <c r="I21" s="17"/>
      <c r="J21" s="17"/>
      <c r="K21" s="17"/>
      <c r="L21" s="17"/>
      <c r="M21" s="24" t="s">
        <v>51</v>
      </c>
      <c r="N21" s="29" t="s">
        <v>25</v>
      </c>
    </row>
    <row r="22">
      <c r="A22" s="16">
        <v>2.0</v>
      </c>
      <c r="B22" s="14"/>
      <c r="C22" s="13">
        <v>10000.0</v>
      </c>
      <c r="D22" s="13" t="s">
        <v>52</v>
      </c>
      <c r="E22" s="13">
        <v>2.20692705E8</v>
      </c>
      <c r="F22" s="16"/>
      <c r="G22" s="16"/>
      <c r="H22" s="13">
        <v>10000.0</v>
      </c>
      <c r="I22" s="17"/>
      <c r="J22" s="17"/>
      <c r="K22" s="17"/>
      <c r="L22" s="17"/>
      <c r="M22" s="5"/>
      <c r="N22" s="52" t="s">
        <v>53</v>
      </c>
    </row>
    <row r="23">
      <c r="A23" s="19">
        <v>3.0</v>
      </c>
      <c r="B23" s="20">
        <v>46182.0</v>
      </c>
      <c r="C23" s="19">
        <v>26000.0</v>
      </c>
      <c r="D23" s="53" t="s">
        <v>54</v>
      </c>
      <c r="E23" s="19">
        <v>5.50541554E8</v>
      </c>
      <c r="F23" s="19">
        <v>5.55117877E8</v>
      </c>
      <c r="G23" s="19" t="s">
        <v>0</v>
      </c>
      <c r="H23" s="19">
        <v>5000.0</v>
      </c>
      <c r="I23" s="21"/>
      <c r="J23" s="54"/>
      <c r="K23" s="55"/>
      <c r="L23" s="55"/>
      <c r="M23" s="24" t="s">
        <v>51</v>
      </c>
      <c r="N23" s="5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>
      <c r="A24" s="13">
        <v>4.0</v>
      </c>
      <c r="B24" s="58"/>
      <c r="C24" s="59"/>
      <c r="D24" s="59"/>
      <c r="E24" s="59"/>
      <c r="F24" s="59"/>
      <c r="G24" s="55"/>
      <c r="H24" s="59"/>
      <c r="I24" s="17"/>
      <c r="J24" s="17"/>
      <c r="K24" s="17"/>
      <c r="L24" s="17"/>
      <c r="M24" s="5"/>
      <c r="N24" s="60"/>
    </row>
    <row r="25">
      <c r="A25" s="16">
        <v>5.0</v>
      </c>
      <c r="B25" s="28">
        <v>46153.0</v>
      </c>
      <c r="C25" s="13">
        <v>10000.0</v>
      </c>
      <c r="D25" s="13" t="s">
        <v>55</v>
      </c>
      <c r="E25" s="13" t="s">
        <v>56</v>
      </c>
      <c r="F25" s="13" t="s">
        <v>57</v>
      </c>
      <c r="G25" s="16"/>
      <c r="H25" s="13">
        <v>30000.0</v>
      </c>
      <c r="I25" s="17"/>
      <c r="J25" s="18">
        <v>10000.0</v>
      </c>
      <c r="K25" s="18">
        <v>10000.0</v>
      </c>
      <c r="L25" s="18">
        <v>10000.0</v>
      </c>
      <c r="M25" s="5"/>
      <c r="N25" s="61" t="s">
        <v>32</v>
      </c>
    </row>
    <row r="26">
      <c r="A26" s="13">
        <v>6.0</v>
      </c>
      <c r="B26" s="28">
        <v>46155.0</v>
      </c>
      <c r="C26" s="13">
        <v>10000.0</v>
      </c>
      <c r="D26" s="13" t="s">
        <v>58</v>
      </c>
      <c r="E26" s="13">
        <v>5.59160209E8</v>
      </c>
      <c r="F26" s="13">
        <v>5.52002307E8</v>
      </c>
      <c r="G26" s="16"/>
      <c r="H26" s="13">
        <v>8000.0</v>
      </c>
      <c r="I26" s="17"/>
      <c r="J26" s="17"/>
      <c r="K26" s="17"/>
      <c r="L26" s="17"/>
      <c r="M26" s="5"/>
      <c r="N26" s="62" t="s">
        <v>25</v>
      </c>
    </row>
    <row r="27">
      <c r="A27" s="13">
        <v>7.0</v>
      </c>
      <c r="B27" s="28">
        <v>46155.0</v>
      </c>
      <c r="C27" s="13">
        <v>10000.0</v>
      </c>
      <c r="D27" s="15" t="s">
        <v>59</v>
      </c>
      <c r="E27" s="13" t="s">
        <v>60</v>
      </c>
      <c r="F27" s="13" t="s">
        <v>61</v>
      </c>
      <c r="G27" s="16"/>
      <c r="H27" s="13">
        <v>30000.0</v>
      </c>
      <c r="I27" s="17"/>
      <c r="J27" s="18">
        <v>10000.0</v>
      </c>
      <c r="K27" s="18">
        <v>10000.0</v>
      </c>
      <c r="L27" s="18">
        <v>10000.0</v>
      </c>
      <c r="M27" s="63" t="s">
        <v>19</v>
      </c>
      <c r="N27" s="61" t="s">
        <v>32</v>
      </c>
    </row>
    <row r="28">
      <c r="A28" s="16">
        <v>8.0</v>
      </c>
      <c r="B28" s="28">
        <v>46155.0</v>
      </c>
      <c r="C28" s="13">
        <v>10000.0</v>
      </c>
      <c r="D28" s="15" t="s">
        <v>62</v>
      </c>
      <c r="E28" s="13" t="s">
        <v>63</v>
      </c>
      <c r="F28" s="13" t="s">
        <v>64</v>
      </c>
      <c r="G28" s="16"/>
      <c r="H28" s="13">
        <v>30000.0</v>
      </c>
      <c r="I28" s="17"/>
      <c r="J28" s="18">
        <v>10000.0</v>
      </c>
      <c r="K28" s="18">
        <v>10000.0</v>
      </c>
      <c r="L28" s="18">
        <v>10000.0</v>
      </c>
      <c r="M28" s="63" t="s">
        <v>19</v>
      </c>
      <c r="N28" s="64" t="s">
        <v>32</v>
      </c>
    </row>
    <row r="29">
      <c r="A29" s="13">
        <v>9.0</v>
      </c>
      <c r="B29" s="28">
        <v>46158.0</v>
      </c>
      <c r="C29" s="13">
        <v>10000.0</v>
      </c>
      <c r="D29" s="15" t="s">
        <v>65</v>
      </c>
      <c r="E29" s="13" t="s">
        <v>66</v>
      </c>
      <c r="F29" s="13" t="s">
        <v>67</v>
      </c>
      <c r="G29" s="16"/>
      <c r="H29" s="13">
        <v>30000.0</v>
      </c>
      <c r="I29" s="17"/>
      <c r="J29" s="18">
        <v>10000.0</v>
      </c>
      <c r="K29" s="18">
        <v>10000.0</v>
      </c>
      <c r="L29" s="18">
        <v>10000.0</v>
      </c>
      <c r="M29" s="63" t="s">
        <v>19</v>
      </c>
      <c r="N29" s="25" t="s">
        <v>20</v>
      </c>
    </row>
    <row r="30">
      <c r="A30" s="13">
        <v>10.0</v>
      </c>
      <c r="B30" s="28">
        <v>46160.0</v>
      </c>
      <c r="C30" s="13">
        <v>10000.0</v>
      </c>
      <c r="D30" s="13" t="s">
        <v>68</v>
      </c>
      <c r="E30" s="13" t="s">
        <v>69</v>
      </c>
      <c r="F30" s="13" t="s">
        <v>70</v>
      </c>
      <c r="G30" s="13" t="s">
        <v>71</v>
      </c>
      <c r="H30" s="13">
        <v>30000.0</v>
      </c>
      <c r="I30" s="17"/>
      <c r="J30" s="17"/>
      <c r="K30" s="17"/>
      <c r="L30" s="17"/>
      <c r="M30" s="5"/>
      <c r="N30" s="25" t="s">
        <v>20</v>
      </c>
    </row>
    <row r="31">
      <c r="A31" s="16">
        <v>11.0</v>
      </c>
      <c r="B31" s="28">
        <v>46161.0</v>
      </c>
      <c r="C31" s="13">
        <v>29000.0</v>
      </c>
      <c r="D31" s="13" t="s">
        <v>72</v>
      </c>
      <c r="E31" s="13">
        <v>7.71249531E8</v>
      </c>
      <c r="F31" s="13" t="s">
        <v>73</v>
      </c>
      <c r="G31" s="13">
        <v>19.0</v>
      </c>
      <c r="H31" s="13">
        <v>29000.0</v>
      </c>
      <c r="I31" s="17"/>
      <c r="J31" s="18">
        <v>10000.0</v>
      </c>
      <c r="K31" s="18">
        <v>10000.0</v>
      </c>
      <c r="L31" s="18">
        <v>9000.0</v>
      </c>
      <c r="M31" s="5"/>
      <c r="N31" s="62" t="s">
        <v>74</v>
      </c>
    </row>
    <row r="32">
      <c r="A32" s="13">
        <v>12.0</v>
      </c>
      <c r="B32" s="65">
        <v>46161.0</v>
      </c>
      <c r="C32" s="59"/>
      <c r="D32" s="66" t="s">
        <v>75</v>
      </c>
      <c r="E32" s="55"/>
      <c r="F32" s="59" t="s">
        <v>76</v>
      </c>
      <c r="G32" s="67"/>
      <c r="H32" s="67"/>
      <c r="I32" s="68"/>
      <c r="J32" s="68"/>
      <c r="K32" s="68"/>
      <c r="L32" s="68"/>
      <c r="M32" s="69"/>
      <c r="N32" s="70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>
      <c r="A33" s="13">
        <v>13.0</v>
      </c>
      <c r="B33" s="34">
        <v>46161.0</v>
      </c>
      <c r="C33" s="33" t="s">
        <v>77</v>
      </c>
      <c r="D33" s="33" t="s">
        <v>78</v>
      </c>
      <c r="E33" s="37"/>
      <c r="F33" s="37"/>
      <c r="G33" s="37"/>
      <c r="H33" s="33">
        <v>2000.0</v>
      </c>
      <c r="I33" s="17"/>
      <c r="J33" s="17"/>
      <c r="K33" s="17"/>
      <c r="L33" s="17"/>
      <c r="M33" s="5"/>
      <c r="N33" s="5"/>
    </row>
    <row r="34">
      <c r="A34" s="16">
        <v>14.0</v>
      </c>
      <c r="B34" s="28">
        <v>46160.0</v>
      </c>
      <c r="C34" s="13">
        <v>10000.0</v>
      </c>
      <c r="D34" s="13" t="s">
        <v>79</v>
      </c>
      <c r="E34" s="13" t="s">
        <v>80</v>
      </c>
      <c r="F34" s="13" t="s">
        <v>81</v>
      </c>
      <c r="G34" s="13" t="s">
        <v>82</v>
      </c>
      <c r="H34" s="13">
        <v>30000.0</v>
      </c>
      <c r="I34" s="17"/>
      <c r="J34" s="18">
        <v>10000.0</v>
      </c>
      <c r="K34" s="18">
        <v>10000.0</v>
      </c>
      <c r="L34" s="18">
        <v>10000.0</v>
      </c>
      <c r="M34" s="5"/>
      <c r="N34" s="61" t="s">
        <v>32</v>
      </c>
    </row>
    <row r="35">
      <c r="A35" s="13">
        <v>15.0</v>
      </c>
      <c r="B35" s="73">
        <v>46174.0</v>
      </c>
      <c r="C35" s="13">
        <v>10000.0</v>
      </c>
      <c r="D35" s="13" t="s">
        <v>83</v>
      </c>
      <c r="E35" s="13" t="s">
        <v>84</v>
      </c>
      <c r="F35" s="13" t="s">
        <v>85</v>
      </c>
      <c r="G35" s="16"/>
      <c r="H35" s="13">
        <v>30000.0</v>
      </c>
      <c r="I35" s="17"/>
      <c r="J35" s="17"/>
      <c r="K35" s="17"/>
      <c r="L35" s="17"/>
      <c r="M35" s="5"/>
      <c r="N35" s="25" t="s">
        <v>20</v>
      </c>
    </row>
    <row r="36">
      <c r="A36" s="74"/>
      <c r="B36" s="74"/>
      <c r="C36" s="74"/>
      <c r="D36" s="74"/>
      <c r="E36" s="74"/>
      <c r="F36" s="74"/>
      <c r="G36" s="74"/>
      <c r="H36" s="74">
        <f>SUM(H21:H35)</f>
        <v>292000</v>
      </c>
      <c r="I36" s="74">
        <f t="shared" ref="I36:J36" si="1">SUM(I21:I32)</f>
        <v>0</v>
      </c>
      <c r="J36" s="74">
        <f t="shared" si="1"/>
        <v>50000</v>
      </c>
      <c r="K36" s="74"/>
      <c r="L36" s="74"/>
      <c r="M36" s="75"/>
      <c r="N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</row>
    <row r="38">
      <c r="A38" s="75"/>
      <c r="B38" s="75"/>
      <c r="C38" s="75"/>
      <c r="D38" s="75"/>
      <c r="E38" s="76" t="s">
        <v>86</v>
      </c>
      <c r="F38" s="75"/>
      <c r="G38" s="75"/>
      <c r="H38" s="75"/>
      <c r="I38" s="75"/>
      <c r="J38" s="75"/>
      <c r="K38" s="75"/>
      <c r="L38" s="75"/>
      <c r="M38" s="75"/>
      <c r="N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</row>
    <row r="40">
      <c r="A40" s="77" t="s">
        <v>87</v>
      </c>
      <c r="B40" s="47"/>
      <c r="C40" s="47"/>
      <c r="D40" s="47"/>
      <c r="E40" s="47"/>
      <c r="F40" s="47"/>
      <c r="G40" s="47"/>
      <c r="H40" s="47"/>
      <c r="I40" s="47"/>
      <c r="J40" s="48"/>
      <c r="K40" s="4"/>
      <c r="L40" s="4"/>
      <c r="M40" s="11">
        <f>SUM(H41:H55)</f>
        <v>368000</v>
      </c>
      <c r="N40" s="5"/>
    </row>
    <row r="41">
      <c r="A41" s="49" t="s">
        <v>1</v>
      </c>
      <c r="B41" s="49" t="s">
        <v>2</v>
      </c>
      <c r="C41" s="49" t="s">
        <v>3</v>
      </c>
      <c r="D41" s="49" t="s">
        <v>4</v>
      </c>
      <c r="E41" s="49" t="s">
        <v>5</v>
      </c>
      <c r="F41" s="50" t="s">
        <v>6</v>
      </c>
      <c r="G41" s="49" t="s">
        <v>7</v>
      </c>
      <c r="H41" s="8" t="s">
        <v>8</v>
      </c>
      <c r="I41" s="10" t="s">
        <v>88</v>
      </c>
      <c r="J41" s="10" t="s">
        <v>89</v>
      </c>
      <c r="K41" s="10" t="s">
        <v>90</v>
      </c>
      <c r="L41" s="10" t="s">
        <v>91</v>
      </c>
      <c r="M41" s="5"/>
      <c r="N41" s="5"/>
    </row>
    <row r="42">
      <c r="A42" s="13">
        <v>1.0</v>
      </c>
      <c r="B42" s="28">
        <v>46155.0</v>
      </c>
      <c r="C42" s="13">
        <v>10000.0</v>
      </c>
      <c r="D42" s="15" t="s">
        <v>92</v>
      </c>
      <c r="E42" s="13">
        <v>5.5537101E8</v>
      </c>
      <c r="F42" s="13">
        <v>7.03800153E8</v>
      </c>
      <c r="G42" s="16"/>
      <c r="H42" s="13">
        <v>30000.0</v>
      </c>
      <c r="I42" s="18"/>
      <c r="J42" s="18">
        <v>10000.0</v>
      </c>
      <c r="K42" s="18">
        <v>10000.0</v>
      </c>
      <c r="L42" s="18">
        <v>10000.0</v>
      </c>
      <c r="M42" s="60"/>
      <c r="N42" s="29" t="s">
        <v>25</v>
      </c>
    </row>
    <row r="43">
      <c r="A43" s="16">
        <v>2.0</v>
      </c>
      <c r="B43" s="28">
        <v>46156.0</v>
      </c>
      <c r="C43" s="13">
        <v>9333.0</v>
      </c>
      <c r="D43" s="27" t="s">
        <v>93</v>
      </c>
      <c r="E43" s="36" t="s">
        <v>94</v>
      </c>
      <c r="F43" s="13" t="s">
        <v>95</v>
      </c>
      <c r="G43" s="16"/>
      <c r="H43" s="13">
        <v>28000.0</v>
      </c>
      <c r="I43" s="17"/>
      <c r="J43" s="18">
        <v>9333.0</v>
      </c>
      <c r="K43" s="18">
        <v>9333.0</v>
      </c>
      <c r="L43" s="18">
        <v>9333.0</v>
      </c>
      <c r="M43" s="63" t="s">
        <v>19</v>
      </c>
      <c r="N43" s="25" t="s">
        <v>20</v>
      </c>
    </row>
    <row r="44">
      <c r="A44" s="13">
        <v>3.0</v>
      </c>
      <c r="B44" s="22">
        <v>46157.0</v>
      </c>
      <c r="C44" s="13">
        <v>9333.0</v>
      </c>
      <c r="D44" s="15" t="s">
        <v>96</v>
      </c>
      <c r="E44" s="13" t="s">
        <v>97</v>
      </c>
      <c r="F44" s="13" t="s">
        <v>98</v>
      </c>
      <c r="G44" s="16"/>
      <c r="H44" s="13">
        <v>28000.0</v>
      </c>
      <c r="I44" s="17"/>
      <c r="J44" s="18">
        <v>9333.0</v>
      </c>
      <c r="K44" s="18">
        <v>9333.0</v>
      </c>
      <c r="L44" s="18">
        <v>9333.0</v>
      </c>
      <c r="M44" s="63" t="s">
        <v>19</v>
      </c>
      <c r="N44" s="25" t="s">
        <v>20</v>
      </c>
    </row>
    <row r="45">
      <c r="A45" s="16">
        <v>4.0</v>
      </c>
      <c r="B45" s="28">
        <v>46157.0</v>
      </c>
      <c r="C45" s="13">
        <v>9333.0</v>
      </c>
      <c r="D45" s="27" t="s">
        <v>99</v>
      </c>
      <c r="E45" s="36" t="s">
        <v>100</v>
      </c>
      <c r="F45" s="13" t="s">
        <v>101</v>
      </c>
      <c r="G45" s="16"/>
      <c r="H45" s="13">
        <v>28000.0</v>
      </c>
      <c r="I45" s="17"/>
      <c r="J45" s="18">
        <v>9333.0</v>
      </c>
      <c r="K45" s="18">
        <v>9333.0</v>
      </c>
      <c r="L45" s="18">
        <v>9333.0</v>
      </c>
      <c r="M45" s="63" t="s">
        <v>19</v>
      </c>
      <c r="N45" s="25" t="s">
        <v>20</v>
      </c>
    </row>
    <row r="46">
      <c r="A46" s="13">
        <v>5.0</v>
      </c>
      <c r="B46" s="28">
        <v>46157.0</v>
      </c>
      <c r="C46" s="78">
        <v>15000.0</v>
      </c>
      <c r="D46" s="15" t="s">
        <v>102</v>
      </c>
      <c r="E46" s="13">
        <v>9.99230282E8</v>
      </c>
      <c r="F46" s="13">
        <v>7.00094318E8</v>
      </c>
      <c r="G46" s="16"/>
      <c r="H46" s="78">
        <v>15000.0</v>
      </c>
      <c r="I46" s="17"/>
      <c r="J46" s="79">
        <v>15000.0</v>
      </c>
      <c r="K46" s="17"/>
      <c r="L46" s="17"/>
      <c r="M46" s="63" t="s">
        <v>19</v>
      </c>
      <c r="N46" s="62" t="s">
        <v>103</v>
      </c>
    </row>
    <row r="47">
      <c r="A47" s="16">
        <v>6.0</v>
      </c>
      <c r="B47" s="28">
        <v>46157.0</v>
      </c>
      <c r="C47" s="13">
        <v>10000.0</v>
      </c>
      <c r="D47" s="15" t="s">
        <v>104</v>
      </c>
      <c r="E47" s="13" t="s">
        <v>105</v>
      </c>
      <c r="F47" s="13" t="s">
        <v>106</v>
      </c>
      <c r="G47" s="16"/>
      <c r="H47" s="13">
        <v>30000.0</v>
      </c>
      <c r="I47" s="17"/>
      <c r="J47" s="18">
        <v>10000.0</v>
      </c>
      <c r="K47" s="18">
        <v>10000.0</v>
      </c>
      <c r="L47" s="18">
        <v>10000.0</v>
      </c>
      <c r="M47" s="5"/>
      <c r="N47" s="64" t="s">
        <v>32</v>
      </c>
    </row>
    <row r="48">
      <c r="A48" s="13">
        <v>7.0</v>
      </c>
      <c r="B48" s="14"/>
      <c r="C48" s="13" t="s">
        <v>77</v>
      </c>
      <c r="D48" s="80" t="s">
        <v>107</v>
      </c>
      <c r="E48" s="13" t="s">
        <v>108</v>
      </c>
      <c r="F48" s="13" t="s">
        <v>109</v>
      </c>
      <c r="G48" s="16"/>
      <c r="H48" s="13" t="s">
        <v>77</v>
      </c>
      <c r="I48" s="17"/>
      <c r="J48" s="17"/>
      <c r="K48" s="17"/>
      <c r="L48" s="17"/>
      <c r="M48" s="5"/>
      <c r="N48" s="5"/>
    </row>
    <row r="49">
      <c r="A49" s="16">
        <v>8.0</v>
      </c>
      <c r="B49" s="28">
        <v>46160.0</v>
      </c>
      <c r="C49" s="13">
        <v>10000.0</v>
      </c>
      <c r="D49" s="15" t="s">
        <v>110</v>
      </c>
      <c r="E49" s="13" t="s">
        <v>111</v>
      </c>
      <c r="F49" s="13" t="s">
        <v>112</v>
      </c>
      <c r="G49" s="16"/>
      <c r="H49" s="13">
        <v>30000.0</v>
      </c>
      <c r="I49" s="17"/>
      <c r="J49" s="18">
        <v>10000.0</v>
      </c>
      <c r="K49" s="18">
        <v>10000.0</v>
      </c>
      <c r="L49" s="18">
        <v>10000.0</v>
      </c>
      <c r="M49" s="5"/>
      <c r="N49" s="64" t="s">
        <v>32</v>
      </c>
    </row>
    <row r="50">
      <c r="A50" s="13">
        <v>9.0</v>
      </c>
      <c r="B50" s="28">
        <v>46160.0</v>
      </c>
      <c r="C50" s="13">
        <v>10000.0</v>
      </c>
      <c r="D50" s="15" t="s">
        <v>113</v>
      </c>
      <c r="E50" s="13" t="s">
        <v>114</v>
      </c>
      <c r="F50" s="13" t="s">
        <v>115</v>
      </c>
      <c r="G50" s="16"/>
      <c r="H50" s="13">
        <v>30000.0</v>
      </c>
      <c r="I50" s="17"/>
      <c r="J50" s="17"/>
      <c r="K50" s="17"/>
      <c r="L50" s="17"/>
      <c r="M50" s="5"/>
      <c r="N50" s="25" t="s">
        <v>20</v>
      </c>
    </row>
    <row r="51">
      <c r="A51" s="16">
        <v>10.0</v>
      </c>
      <c r="B51" s="28">
        <v>46160.0</v>
      </c>
      <c r="C51" s="13">
        <v>10000.0</v>
      </c>
      <c r="D51" s="15" t="s">
        <v>116</v>
      </c>
      <c r="E51" s="13" t="s">
        <v>117</v>
      </c>
      <c r="F51" s="13" t="s">
        <v>118</v>
      </c>
      <c r="G51" s="16"/>
      <c r="H51" s="13">
        <v>30000.0</v>
      </c>
      <c r="I51" s="17"/>
      <c r="J51" s="17"/>
      <c r="K51" s="17"/>
      <c r="L51" s="17"/>
      <c r="M51" s="5"/>
      <c r="N51" s="25" t="s">
        <v>20</v>
      </c>
    </row>
    <row r="52">
      <c r="A52" s="13">
        <v>11.0</v>
      </c>
      <c r="B52" s="28">
        <v>46160.0</v>
      </c>
      <c r="C52" s="13">
        <v>10000.0</v>
      </c>
      <c r="D52" s="15" t="s">
        <v>119</v>
      </c>
      <c r="E52" s="13" t="s">
        <v>120</v>
      </c>
      <c r="F52" s="13" t="s">
        <v>121</v>
      </c>
      <c r="G52" s="16"/>
      <c r="H52" s="13">
        <v>30000.0</v>
      </c>
      <c r="I52" s="17"/>
      <c r="J52" s="17"/>
      <c r="K52" s="17"/>
      <c r="L52" s="17"/>
      <c r="M52" s="5"/>
      <c r="N52" s="5"/>
    </row>
    <row r="53">
      <c r="A53" s="16">
        <v>12.0</v>
      </c>
      <c r="B53" s="28">
        <v>46160.0</v>
      </c>
      <c r="C53" s="13">
        <v>10000.0</v>
      </c>
      <c r="D53" s="15" t="s">
        <v>122</v>
      </c>
      <c r="E53" s="13" t="s">
        <v>123</v>
      </c>
      <c r="F53" s="13" t="s">
        <v>124</v>
      </c>
      <c r="G53" s="16"/>
      <c r="H53" s="13">
        <v>30000.0</v>
      </c>
      <c r="I53" s="17"/>
      <c r="J53" s="17"/>
      <c r="K53" s="17"/>
      <c r="L53" s="17"/>
      <c r="M53" s="5"/>
      <c r="N53" s="25" t="s">
        <v>20</v>
      </c>
    </row>
    <row r="54">
      <c r="A54" s="13">
        <v>13.0</v>
      </c>
      <c r="B54" s="28">
        <v>46160.0</v>
      </c>
      <c r="C54" s="13">
        <v>10000.0</v>
      </c>
      <c r="D54" s="15" t="s">
        <v>125</v>
      </c>
      <c r="E54" s="36">
        <v>5.0770799E8</v>
      </c>
      <c r="F54" s="36">
        <v>5.0770799E8</v>
      </c>
      <c r="G54" s="16"/>
      <c r="H54" s="13">
        <v>30000.0</v>
      </c>
      <c r="I54" s="17"/>
      <c r="J54" s="18">
        <v>10000.0</v>
      </c>
      <c r="K54" s="18">
        <v>10000.0</v>
      </c>
      <c r="L54" s="18">
        <v>10000.0</v>
      </c>
      <c r="M54" s="5"/>
      <c r="N54" s="29" t="s">
        <v>74</v>
      </c>
    </row>
    <row r="55">
      <c r="A55" s="13">
        <v>14.0</v>
      </c>
      <c r="B55" s="28">
        <v>46160.0</v>
      </c>
      <c r="C55" s="13"/>
      <c r="D55" s="15" t="s">
        <v>126</v>
      </c>
      <c r="E55" s="36" t="s">
        <v>127</v>
      </c>
      <c r="F55" s="36" t="s">
        <v>128</v>
      </c>
      <c r="G55" s="16"/>
      <c r="H55" s="13">
        <v>29000.0</v>
      </c>
      <c r="I55" s="17"/>
      <c r="J55" s="18"/>
      <c r="K55" s="18"/>
      <c r="L55" s="18"/>
      <c r="M55" s="5"/>
      <c r="N55" s="60"/>
    </row>
    <row r="56">
      <c r="A56" s="13">
        <v>15.0</v>
      </c>
      <c r="B56" s="81">
        <v>46172.0</v>
      </c>
      <c r="C56" s="13">
        <v>10000.0</v>
      </c>
      <c r="D56" s="82" t="s">
        <v>129</v>
      </c>
      <c r="E56" s="13">
        <v>7.05931212E8</v>
      </c>
      <c r="F56" s="13">
        <v>9.96550826191E11</v>
      </c>
      <c r="G56" s="83"/>
      <c r="H56" s="84">
        <v>20000.0</v>
      </c>
      <c r="I56" s="85">
        <f t="shared" ref="I56:J56" si="2">SUM(I42:I53)</f>
        <v>0</v>
      </c>
      <c r="J56" s="85">
        <f t="shared" si="2"/>
        <v>72999</v>
      </c>
      <c r="K56" s="85"/>
      <c r="L56" s="85"/>
      <c r="M56" s="86"/>
      <c r="N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</row>
    <row r="59">
      <c r="A59" s="87" t="s">
        <v>130</v>
      </c>
      <c r="B59" s="47"/>
      <c r="C59" s="47"/>
      <c r="D59" s="47"/>
      <c r="E59" s="47"/>
      <c r="F59" s="47"/>
      <c r="G59" s="47"/>
      <c r="H59" s="47"/>
      <c r="I59" s="47"/>
      <c r="J59" s="48"/>
      <c r="K59" s="4"/>
      <c r="L59" s="4"/>
      <c r="M59" s="11">
        <f>SUM(H60:H74)</f>
        <v>381950</v>
      </c>
      <c r="N59" s="5"/>
    </row>
    <row r="60">
      <c r="A60" s="49" t="s">
        <v>1</v>
      </c>
      <c r="B60" s="49" t="s">
        <v>2</v>
      </c>
      <c r="C60" s="49" t="s">
        <v>3</v>
      </c>
      <c r="D60" s="49" t="s">
        <v>4</v>
      </c>
      <c r="E60" s="49" t="s">
        <v>5</v>
      </c>
      <c r="F60" s="50" t="s">
        <v>6</v>
      </c>
      <c r="G60" s="49" t="s">
        <v>7</v>
      </c>
      <c r="H60" s="8" t="s">
        <v>8</v>
      </c>
      <c r="I60" s="10" t="s">
        <v>88</v>
      </c>
      <c r="J60" s="10" t="s">
        <v>89</v>
      </c>
      <c r="K60" s="10" t="s">
        <v>90</v>
      </c>
      <c r="L60" s="10" t="s">
        <v>91</v>
      </c>
      <c r="M60" s="5"/>
      <c r="N60" s="5"/>
    </row>
    <row r="61">
      <c r="A61" s="13">
        <v>1.0</v>
      </c>
      <c r="B61" s="28">
        <v>46174.0</v>
      </c>
      <c r="C61" s="13">
        <v>9333.0</v>
      </c>
      <c r="D61" s="4" t="s">
        <v>131</v>
      </c>
      <c r="E61" s="36" t="s">
        <v>132</v>
      </c>
      <c r="F61" s="36" t="s">
        <v>133</v>
      </c>
      <c r="G61" s="16"/>
      <c r="H61" s="13">
        <v>28000.0</v>
      </c>
      <c r="I61" s="18"/>
      <c r="J61" s="18"/>
      <c r="K61" s="18"/>
      <c r="L61" s="18"/>
      <c r="M61" s="63" t="s">
        <v>19</v>
      </c>
      <c r="N61" s="25" t="s">
        <v>20</v>
      </c>
    </row>
    <row r="62">
      <c r="A62" s="13">
        <v>2.0</v>
      </c>
      <c r="B62" s="28">
        <v>46160.0</v>
      </c>
      <c r="C62" s="13">
        <v>30000.0</v>
      </c>
      <c r="D62" s="4" t="s">
        <v>134</v>
      </c>
      <c r="E62" s="36">
        <v>5.50771673E8</v>
      </c>
      <c r="F62" s="13">
        <v>5.55771674E8</v>
      </c>
      <c r="G62" s="16"/>
      <c r="H62" s="13">
        <v>30000.0</v>
      </c>
      <c r="I62" s="17"/>
      <c r="J62" s="18">
        <v>10000.0</v>
      </c>
      <c r="K62" s="18">
        <v>10000.0</v>
      </c>
      <c r="L62" s="18">
        <v>10000.0</v>
      </c>
      <c r="M62" s="5"/>
      <c r="N62" s="29" t="s">
        <v>74</v>
      </c>
    </row>
    <row r="63">
      <c r="A63" s="13">
        <v>3.0</v>
      </c>
      <c r="B63" s="28">
        <v>46160.0</v>
      </c>
      <c r="C63" s="13">
        <v>9333.0</v>
      </c>
      <c r="D63" s="4" t="s">
        <v>135</v>
      </c>
      <c r="E63" s="13" t="s">
        <v>136</v>
      </c>
      <c r="F63" s="13" t="s">
        <v>137</v>
      </c>
      <c r="G63" s="16"/>
      <c r="H63" s="13">
        <v>28000.0</v>
      </c>
      <c r="I63" s="17"/>
      <c r="J63" s="18">
        <v>9333.0</v>
      </c>
      <c r="K63" s="18">
        <v>9333.0</v>
      </c>
      <c r="L63" s="18">
        <v>9333.0</v>
      </c>
      <c r="M63" s="5"/>
      <c r="N63" s="25" t="s">
        <v>20</v>
      </c>
    </row>
    <row r="64">
      <c r="A64" s="13">
        <v>4.0</v>
      </c>
      <c r="B64" s="28">
        <v>46162.0</v>
      </c>
      <c r="C64" s="36">
        <v>10000.0</v>
      </c>
      <c r="D64" s="88" t="s">
        <v>138</v>
      </c>
      <c r="E64" s="36" t="s">
        <v>139</v>
      </c>
      <c r="F64" s="13" t="s">
        <v>140</v>
      </c>
      <c r="G64" s="16"/>
      <c r="H64" s="13">
        <v>29000.0</v>
      </c>
      <c r="I64" s="17"/>
      <c r="J64" s="18">
        <v>10000.0</v>
      </c>
      <c r="K64" s="18">
        <v>10000.0</v>
      </c>
      <c r="L64" s="18">
        <v>10000.0</v>
      </c>
      <c r="M64" s="5"/>
      <c r="N64" s="31" t="s">
        <v>32</v>
      </c>
    </row>
    <row r="65">
      <c r="A65" s="13">
        <v>5.0</v>
      </c>
      <c r="B65" s="28">
        <v>46163.0</v>
      </c>
      <c r="C65" s="13">
        <v>10000.0</v>
      </c>
      <c r="D65" s="89" t="s">
        <v>141</v>
      </c>
      <c r="E65" s="13" t="s">
        <v>142</v>
      </c>
      <c r="F65" s="13" t="s">
        <v>143</v>
      </c>
      <c r="G65" s="16"/>
      <c r="H65" s="13">
        <v>30000.0</v>
      </c>
      <c r="I65" s="17"/>
      <c r="J65" s="18"/>
      <c r="K65" s="18"/>
      <c r="L65" s="18"/>
      <c r="M65" s="5"/>
      <c r="N65" s="90"/>
      <c r="O65" s="30" t="s">
        <v>144</v>
      </c>
    </row>
    <row r="66">
      <c r="A66" s="13">
        <v>6.0</v>
      </c>
      <c r="B66" s="28">
        <v>46164.0</v>
      </c>
      <c r="C66" s="13">
        <v>30000.0</v>
      </c>
      <c r="D66" s="4" t="s">
        <v>145</v>
      </c>
      <c r="E66" s="13">
        <v>9.90600222E8</v>
      </c>
      <c r="F66" s="13">
        <v>5.52600222E8</v>
      </c>
      <c r="G66" s="16"/>
      <c r="H66" s="13">
        <v>30000.0</v>
      </c>
      <c r="I66" s="17"/>
      <c r="J66" s="18">
        <v>10000.0</v>
      </c>
      <c r="K66" s="18">
        <v>10000.0</v>
      </c>
      <c r="L66" s="18">
        <v>10000.0</v>
      </c>
      <c r="M66" s="5"/>
      <c r="N66" s="29" t="s">
        <v>74</v>
      </c>
    </row>
    <row r="67">
      <c r="A67" s="13">
        <v>7.0</v>
      </c>
      <c r="B67" s="28">
        <v>46167.0</v>
      </c>
      <c r="C67" s="91">
        <v>10000.0</v>
      </c>
      <c r="D67" s="4" t="s">
        <v>146</v>
      </c>
      <c r="E67" s="92" t="s">
        <v>147</v>
      </c>
      <c r="F67" s="92" t="s">
        <v>148</v>
      </c>
      <c r="G67" s="16"/>
      <c r="H67" s="13">
        <v>30000.0</v>
      </c>
      <c r="I67" s="17"/>
      <c r="J67" s="17"/>
      <c r="K67" s="17"/>
      <c r="L67" s="17"/>
      <c r="M67" s="5"/>
      <c r="N67" s="25" t="s">
        <v>20</v>
      </c>
    </row>
    <row r="68">
      <c r="A68" s="13">
        <v>8.0</v>
      </c>
      <c r="B68" s="28">
        <v>46165.0</v>
      </c>
      <c r="C68" s="13">
        <v>10000.0</v>
      </c>
      <c r="D68" s="4" t="s">
        <v>149</v>
      </c>
      <c r="E68" s="13" t="s">
        <v>150</v>
      </c>
      <c r="F68" s="13" t="s">
        <v>151</v>
      </c>
      <c r="G68" s="16"/>
      <c r="H68" s="13">
        <v>29000.0</v>
      </c>
      <c r="I68" s="17"/>
      <c r="J68" s="18">
        <v>10000.0</v>
      </c>
      <c r="K68" s="18">
        <v>10000.0</v>
      </c>
      <c r="L68" s="18">
        <v>10000.0</v>
      </c>
      <c r="M68" s="5"/>
      <c r="N68" s="25" t="s">
        <v>20</v>
      </c>
    </row>
    <row r="69">
      <c r="A69" s="13"/>
      <c r="B69" s="28"/>
      <c r="C69" s="13"/>
      <c r="D69" s="15" t="s">
        <v>152</v>
      </c>
      <c r="E69" s="13">
        <v>2.21643736E8</v>
      </c>
      <c r="F69" s="16"/>
      <c r="G69" s="16"/>
      <c r="H69" s="13">
        <v>5000.0</v>
      </c>
      <c r="I69" s="55"/>
      <c r="J69" s="55"/>
      <c r="K69" s="55"/>
      <c r="L69" s="55"/>
      <c r="M69" s="56"/>
      <c r="N69" s="24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>
      <c r="A70" s="13">
        <v>10.0</v>
      </c>
      <c r="B70" s="28">
        <v>46166.0</v>
      </c>
      <c r="C70" s="16"/>
      <c r="D70" s="4" t="s">
        <v>153</v>
      </c>
      <c r="E70" s="36" t="s">
        <v>154</v>
      </c>
      <c r="F70" s="13" t="s">
        <v>155</v>
      </c>
      <c r="G70" s="16"/>
      <c r="H70" s="13">
        <v>30000.0</v>
      </c>
      <c r="I70" s="17"/>
      <c r="J70" s="17"/>
      <c r="K70" s="17"/>
      <c r="L70" s="17"/>
      <c r="M70" s="5"/>
      <c r="N70" s="25" t="s">
        <v>20</v>
      </c>
    </row>
    <row r="71">
      <c r="A71" s="13">
        <v>11.0</v>
      </c>
      <c r="B71" s="28">
        <v>46167.0</v>
      </c>
      <c r="C71" s="13">
        <v>10000.0</v>
      </c>
      <c r="D71" s="93" t="s">
        <v>156</v>
      </c>
      <c r="E71" s="13" t="s">
        <v>157</v>
      </c>
      <c r="F71" s="13" t="s">
        <v>158</v>
      </c>
      <c r="G71" s="16"/>
      <c r="H71" s="13">
        <v>30000.0</v>
      </c>
      <c r="I71" s="17"/>
      <c r="J71" s="17"/>
      <c r="K71" s="17"/>
      <c r="L71" s="17"/>
      <c r="M71" s="5"/>
      <c r="N71" s="61" t="s">
        <v>32</v>
      </c>
    </row>
    <row r="72">
      <c r="A72" s="94">
        <v>12.0</v>
      </c>
      <c r="B72" s="95">
        <v>46188.0</v>
      </c>
      <c r="C72" s="94">
        <v>26000.0</v>
      </c>
      <c r="D72" s="96" t="s">
        <v>159</v>
      </c>
      <c r="E72" s="94" t="s">
        <v>160</v>
      </c>
      <c r="F72" s="94" t="s">
        <v>161</v>
      </c>
      <c r="G72" s="97"/>
      <c r="H72" s="94">
        <v>26000.0</v>
      </c>
      <c r="I72" s="97"/>
      <c r="J72" s="97"/>
      <c r="K72" s="97"/>
      <c r="L72" s="97"/>
      <c r="M72" s="98"/>
      <c r="N72" s="99" t="s">
        <v>32</v>
      </c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>
      <c r="A73" s="13">
        <v>13.0</v>
      </c>
      <c r="B73" s="13" t="s">
        <v>162</v>
      </c>
      <c r="C73" s="13">
        <v>9333.0</v>
      </c>
      <c r="D73" s="4" t="s">
        <v>163</v>
      </c>
      <c r="E73" s="13" t="s">
        <v>164</v>
      </c>
      <c r="F73" s="13" t="s">
        <v>165</v>
      </c>
      <c r="G73" s="16"/>
      <c r="H73" s="13">
        <v>26950.0</v>
      </c>
      <c r="I73" s="17"/>
      <c r="J73" s="17"/>
      <c r="K73" s="17"/>
      <c r="L73" s="17"/>
      <c r="M73" s="63" t="s">
        <v>19</v>
      </c>
      <c r="N73" s="25" t="s">
        <v>20</v>
      </c>
    </row>
    <row r="74">
      <c r="A74" s="13">
        <v>14.0</v>
      </c>
      <c r="B74" s="101">
        <v>46167.0</v>
      </c>
      <c r="C74" s="102">
        <v>10000.0</v>
      </c>
      <c r="D74" s="88" t="s">
        <v>166</v>
      </c>
      <c r="E74" s="103"/>
      <c r="F74" s="103"/>
      <c r="G74" s="103"/>
      <c r="H74" s="102">
        <v>30000.0</v>
      </c>
      <c r="I74" s="86"/>
      <c r="J74" s="104">
        <v>10000.0</v>
      </c>
      <c r="K74" s="104">
        <v>10000.0</v>
      </c>
      <c r="L74" s="104">
        <v>10000.0</v>
      </c>
      <c r="M74" s="86"/>
      <c r="N74" s="86"/>
    </row>
    <row r="75">
      <c r="A75" s="105">
        <v>15.0</v>
      </c>
      <c r="B75" s="20">
        <v>46183.0</v>
      </c>
      <c r="C75" s="106">
        <v>26000.0</v>
      </c>
      <c r="D75" s="13" t="s">
        <v>167</v>
      </c>
      <c r="E75" s="19" t="s">
        <v>168</v>
      </c>
      <c r="F75" s="19">
        <v>9.96550590752E11</v>
      </c>
      <c r="G75" s="21"/>
      <c r="H75" s="19">
        <v>25000.0</v>
      </c>
      <c r="I75" s="107"/>
      <c r="J75" s="107"/>
      <c r="K75" s="107"/>
      <c r="L75" s="107"/>
      <c r="M75" s="107"/>
      <c r="N75" s="10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>
      <c r="A76" s="86"/>
      <c r="B76" s="86"/>
      <c r="C76" s="86"/>
      <c r="D76" s="104"/>
      <c r="E76" s="104"/>
      <c r="F76" s="86"/>
      <c r="G76" s="86"/>
      <c r="H76" s="86"/>
      <c r="I76" s="86"/>
      <c r="J76" s="86"/>
      <c r="K76" s="86"/>
      <c r="L76" s="86"/>
      <c r="M76" s="86"/>
      <c r="N76" s="86"/>
    </row>
    <row r="77">
      <c r="A77" s="77" t="s">
        <v>169</v>
      </c>
      <c r="B77" s="47"/>
      <c r="C77" s="47"/>
      <c r="D77" s="47"/>
      <c r="E77" s="47"/>
      <c r="F77" s="47"/>
      <c r="G77" s="47"/>
      <c r="H77" s="47"/>
      <c r="I77" s="47"/>
      <c r="J77" s="48"/>
      <c r="K77" s="108"/>
      <c r="L77" s="108"/>
      <c r="M77" s="11">
        <f>SUM(H78:H92)</f>
        <v>328000</v>
      </c>
      <c r="N77" s="109"/>
    </row>
    <row r="78">
      <c r="A78" s="49" t="s">
        <v>1</v>
      </c>
      <c r="B78" s="49" t="s">
        <v>2</v>
      </c>
      <c r="C78" s="49" t="s">
        <v>3</v>
      </c>
      <c r="D78" s="49" t="s">
        <v>4</v>
      </c>
      <c r="E78" s="49" t="s">
        <v>5</v>
      </c>
      <c r="F78" s="50" t="s">
        <v>6</v>
      </c>
      <c r="G78" s="49" t="s">
        <v>7</v>
      </c>
      <c r="H78" s="110" t="s">
        <v>8</v>
      </c>
      <c r="I78" s="51" t="s">
        <v>88</v>
      </c>
      <c r="J78" s="51" t="s">
        <v>89</v>
      </c>
      <c r="K78" s="51" t="s">
        <v>90</v>
      </c>
      <c r="L78" s="51" t="s">
        <v>91</v>
      </c>
      <c r="M78" s="54"/>
      <c r="N78" s="54"/>
    </row>
    <row r="79">
      <c r="A79" s="16">
        <v>1.0</v>
      </c>
      <c r="B79" s="111">
        <v>46167.0</v>
      </c>
      <c r="C79" s="112">
        <v>15000.0</v>
      </c>
      <c r="D79" s="113" t="s">
        <v>170</v>
      </c>
      <c r="E79" s="112">
        <v>2.21464348E8</v>
      </c>
      <c r="F79" s="112">
        <v>2.21464348E8</v>
      </c>
      <c r="G79" s="114"/>
      <c r="H79" s="115">
        <v>15000.0</v>
      </c>
      <c r="I79" s="116"/>
      <c r="J79" s="117">
        <v>15000.0</v>
      </c>
      <c r="K79" s="118"/>
      <c r="L79" s="118"/>
      <c r="M79" s="116"/>
      <c r="N79" s="119" t="s">
        <v>74</v>
      </c>
      <c r="O79" s="120"/>
      <c r="P79" s="120"/>
    </row>
    <row r="80">
      <c r="A80" s="16">
        <v>2.0</v>
      </c>
      <c r="B80" s="28">
        <v>46167.0</v>
      </c>
      <c r="C80" s="13">
        <v>10000.0</v>
      </c>
      <c r="D80" s="15" t="s">
        <v>171</v>
      </c>
      <c r="E80" s="13">
        <v>5.5323079E8</v>
      </c>
      <c r="F80" s="13" t="s">
        <v>172</v>
      </c>
      <c r="G80" s="121"/>
      <c r="H80" s="13">
        <v>30000.0</v>
      </c>
      <c r="I80" s="21"/>
      <c r="J80" s="54"/>
      <c r="K80" s="54"/>
      <c r="L80" s="54"/>
      <c r="M80" s="54"/>
      <c r="N80" s="122" t="s">
        <v>32</v>
      </c>
    </row>
    <row r="81">
      <c r="A81" s="16">
        <v>3.0</v>
      </c>
      <c r="B81" s="28">
        <v>46167.0</v>
      </c>
      <c r="C81" s="13">
        <v>29000.0</v>
      </c>
      <c r="D81" s="15" t="s">
        <v>173</v>
      </c>
      <c r="E81" s="13">
        <v>9.9855998E8</v>
      </c>
      <c r="F81" s="13">
        <v>5.52590401E8</v>
      </c>
      <c r="G81" s="121"/>
      <c r="H81" s="13">
        <v>29000.0</v>
      </c>
      <c r="I81" s="54"/>
      <c r="J81" s="18">
        <v>10000.0</v>
      </c>
      <c r="K81" s="18">
        <v>10000.0</v>
      </c>
      <c r="L81" s="18">
        <v>9000.0</v>
      </c>
      <c r="M81" s="54"/>
      <c r="N81" s="123" t="s">
        <v>74</v>
      </c>
    </row>
    <row r="82">
      <c r="A82" s="16">
        <v>4.0</v>
      </c>
      <c r="B82" s="28">
        <v>46154.0</v>
      </c>
      <c r="C82" s="13">
        <v>10000.0</v>
      </c>
      <c r="D82" s="15" t="s">
        <v>174</v>
      </c>
      <c r="E82" s="36" t="s">
        <v>175</v>
      </c>
      <c r="F82" s="13" t="s">
        <v>176</v>
      </c>
      <c r="G82" s="121"/>
      <c r="H82" s="13">
        <v>30000.0</v>
      </c>
      <c r="I82" s="54"/>
      <c r="J82" s="18">
        <v>10000.0</v>
      </c>
      <c r="K82" s="18">
        <v>10000.0</v>
      </c>
      <c r="L82" s="18">
        <v>10000.0</v>
      </c>
      <c r="M82" s="54"/>
      <c r="N82" s="124" t="s">
        <v>20</v>
      </c>
    </row>
    <row r="83">
      <c r="A83" s="16">
        <v>5.0</v>
      </c>
      <c r="B83" s="28">
        <v>46172.0</v>
      </c>
      <c r="C83" s="13">
        <v>10000.0</v>
      </c>
      <c r="D83" s="15" t="s">
        <v>177</v>
      </c>
      <c r="E83" s="13">
        <v>5.57758775E8</v>
      </c>
      <c r="F83" s="13">
        <v>7.71211127E8</v>
      </c>
      <c r="G83" s="121"/>
      <c r="H83" s="13">
        <v>30000.0</v>
      </c>
      <c r="I83" s="54"/>
      <c r="J83" s="18">
        <v>10000.0</v>
      </c>
      <c r="K83" s="18">
        <v>10000.0</v>
      </c>
      <c r="L83" s="18">
        <v>10000.0</v>
      </c>
      <c r="M83" s="54"/>
      <c r="N83" s="125" t="s">
        <v>74</v>
      </c>
    </row>
    <row r="84">
      <c r="A84" s="16">
        <v>6.0</v>
      </c>
      <c r="B84" s="28">
        <v>46168.0</v>
      </c>
      <c r="C84" s="13">
        <v>15000.0</v>
      </c>
      <c r="D84" s="126" t="s">
        <v>178</v>
      </c>
      <c r="E84" s="13">
        <v>7.06008128E8</v>
      </c>
      <c r="F84" s="13">
        <v>7.079009E8</v>
      </c>
      <c r="G84" s="121"/>
      <c r="H84" s="13">
        <v>15000.0</v>
      </c>
      <c r="I84" s="54"/>
      <c r="J84" s="18">
        <v>15000.0</v>
      </c>
      <c r="K84" s="17"/>
      <c r="L84" s="17"/>
      <c r="M84" s="54"/>
      <c r="N84" s="125" t="s">
        <v>74</v>
      </c>
    </row>
    <row r="85">
      <c r="A85" s="16">
        <v>7.0</v>
      </c>
      <c r="B85" s="28">
        <v>46170.0</v>
      </c>
      <c r="C85" s="91">
        <v>10000.0</v>
      </c>
      <c r="D85" s="15" t="s">
        <v>179</v>
      </c>
      <c r="E85" s="13" t="s">
        <v>180</v>
      </c>
      <c r="F85" s="13" t="s">
        <v>181</v>
      </c>
      <c r="G85" s="121"/>
      <c r="H85" s="127">
        <v>29000.0</v>
      </c>
      <c r="I85" s="54"/>
      <c r="J85" s="54"/>
      <c r="K85" s="54"/>
      <c r="L85" s="54"/>
      <c r="M85" s="54"/>
      <c r="N85" s="124" t="s">
        <v>20</v>
      </c>
    </row>
    <row r="86">
      <c r="A86" s="16">
        <v>8.0</v>
      </c>
      <c r="B86" s="28">
        <v>46168.0</v>
      </c>
      <c r="C86" s="13">
        <v>30000.0</v>
      </c>
      <c r="D86" s="15" t="s">
        <v>182</v>
      </c>
      <c r="E86" s="13">
        <v>7.76020211E8</v>
      </c>
      <c r="F86" s="13">
        <v>7.76020211E8</v>
      </c>
      <c r="G86" s="16"/>
      <c r="H86" s="13">
        <v>30000.0</v>
      </c>
      <c r="I86" s="17"/>
      <c r="J86" s="18">
        <v>10000.0</v>
      </c>
      <c r="K86" s="18">
        <v>10000.0</v>
      </c>
      <c r="L86" s="18">
        <v>10000.0</v>
      </c>
      <c r="M86" s="17"/>
      <c r="N86" s="123" t="s">
        <v>74</v>
      </c>
    </row>
    <row r="87">
      <c r="A87" s="16">
        <v>9.0</v>
      </c>
      <c r="B87" s="28">
        <v>46168.0</v>
      </c>
      <c r="C87" s="13">
        <v>10000.0</v>
      </c>
      <c r="D87" s="15" t="s">
        <v>183</v>
      </c>
      <c r="E87" s="13" t="s">
        <v>184</v>
      </c>
      <c r="F87" s="13" t="s">
        <v>185</v>
      </c>
      <c r="G87" s="16"/>
      <c r="H87" s="13">
        <v>30000.0</v>
      </c>
      <c r="I87" s="54"/>
      <c r="J87" s="54"/>
      <c r="K87" s="54"/>
      <c r="L87" s="54"/>
      <c r="M87" s="54"/>
      <c r="N87" s="21"/>
    </row>
    <row r="88">
      <c r="A88" s="16">
        <v>10.0</v>
      </c>
      <c r="B88" s="128"/>
      <c r="C88" s="91" t="s">
        <v>77</v>
      </c>
      <c r="D88" s="129" t="s">
        <v>186</v>
      </c>
      <c r="E88" s="130"/>
      <c r="F88" s="121"/>
      <c r="G88" s="121"/>
      <c r="H88" s="121"/>
      <c r="I88" s="54"/>
      <c r="J88" s="54"/>
      <c r="K88" s="54"/>
      <c r="L88" s="54"/>
      <c r="M88" s="54"/>
      <c r="N88" s="54"/>
    </row>
    <row r="89">
      <c r="A89" s="16">
        <v>11.0</v>
      </c>
      <c r="B89" s="131"/>
      <c r="C89" s="91">
        <v>10000.0</v>
      </c>
      <c r="D89" s="13" t="s">
        <v>187</v>
      </c>
      <c r="E89" s="13" t="s">
        <v>188</v>
      </c>
      <c r="F89" s="16"/>
      <c r="G89" s="121"/>
      <c r="H89" s="13">
        <v>30000.0</v>
      </c>
      <c r="I89" s="121"/>
      <c r="J89" s="121"/>
      <c r="K89" s="121"/>
      <c r="L89" s="121"/>
      <c r="M89" s="121"/>
      <c r="N89" s="121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</row>
    <row r="90">
      <c r="A90" s="16">
        <v>12.0</v>
      </c>
      <c r="B90" s="103"/>
      <c r="C90" s="103"/>
      <c r="D90" s="63" t="s">
        <v>189</v>
      </c>
      <c r="E90" s="133"/>
      <c r="F90" s="134"/>
      <c r="G90" s="103"/>
      <c r="H90" s="103"/>
      <c r="I90" s="135"/>
      <c r="J90" s="135"/>
      <c r="K90" s="135"/>
      <c r="L90" s="135"/>
      <c r="M90" s="135"/>
      <c r="N90" s="135"/>
    </row>
    <row r="91">
      <c r="A91" s="16">
        <v>13.0</v>
      </c>
      <c r="B91" s="103"/>
      <c r="C91" s="36">
        <v>10000.0</v>
      </c>
      <c r="D91" s="136" t="s">
        <v>190</v>
      </c>
      <c r="E91" s="137" t="s">
        <v>191</v>
      </c>
      <c r="F91" s="137" t="s">
        <v>192</v>
      </c>
      <c r="G91" s="103"/>
      <c r="H91" s="36">
        <v>30000.0</v>
      </c>
      <c r="I91" s="138"/>
      <c r="J91" s="135"/>
      <c r="K91" s="135"/>
      <c r="L91" s="135"/>
      <c r="M91" s="135"/>
      <c r="N91" s="139" t="s">
        <v>193</v>
      </c>
    </row>
    <row r="92">
      <c r="A92" s="16">
        <v>14.0</v>
      </c>
      <c r="B92" s="140">
        <v>46171.0</v>
      </c>
      <c r="C92" s="36">
        <v>10000.0</v>
      </c>
      <c r="D92" s="27" t="s">
        <v>194</v>
      </c>
      <c r="E92" s="36">
        <v>5.58616173E8</v>
      </c>
      <c r="F92" s="36">
        <v>5.58021216E8</v>
      </c>
      <c r="G92" s="103"/>
      <c r="H92" s="36">
        <v>30000.0</v>
      </c>
      <c r="I92" s="135"/>
      <c r="J92" s="135"/>
      <c r="K92" s="135"/>
      <c r="L92" s="135"/>
      <c r="M92" s="135"/>
      <c r="N92" s="141" t="s">
        <v>32</v>
      </c>
    </row>
    <row r="93">
      <c r="A93" s="36">
        <v>15.0</v>
      </c>
      <c r="B93" s="142">
        <v>46174.0</v>
      </c>
      <c r="C93" s="36">
        <v>10000.0</v>
      </c>
      <c r="D93" s="27" t="s">
        <v>195</v>
      </c>
      <c r="E93" s="36">
        <v>2.20687202E8</v>
      </c>
      <c r="F93" s="36">
        <v>5.50101089E8</v>
      </c>
      <c r="G93" s="134"/>
      <c r="H93" s="36">
        <v>30000.0</v>
      </c>
      <c r="I93" s="86"/>
      <c r="J93" s="86"/>
      <c r="K93" s="86"/>
      <c r="L93" s="86"/>
      <c r="M93" s="86"/>
      <c r="N93" s="143" t="s">
        <v>32</v>
      </c>
    </row>
    <row r="94">
      <c r="A94" s="86"/>
      <c r="B94" s="86"/>
      <c r="C94" s="86"/>
      <c r="D94" s="86"/>
      <c r="E94" s="86"/>
      <c r="F94" s="75"/>
      <c r="G94" s="86"/>
      <c r="H94" s="86"/>
      <c r="I94" s="86"/>
      <c r="J94" s="86"/>
      <c r="K94" s="86"/>
      <c r="L94" s="86"/>
      <c r="M94" s="86"/>
      <c r="N94" s="86"/>
    </row>
    <row r="95">
      <c r="A95" s="86"/>
      <c r="B95" s="86"/>
      <c r="C95" s="86"/>
      <c r="D95" s="86"/>
      <c r="E95" s="86"/>
      <c r="F95" s="75"/>
      <c r="G95" s="86"/>
      <c r="H95" s="86"/>
      <c r="I95" s="86"/>
      <c r="J95" s="86"/>
      <c r="K95" s="86"/>
      <c r="L95" s="86"/>
      <c r="M95" s="86"/>
      <c r="N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104" t="s">
        <v>196</v>
      </c>
      <c r="E98" s="104" t="s">
        <v>197</v>
      </c>
      <c r="F98" s="104" t="s">
        <v>198</v>
      </c>
      <c r="G98" s="144">
        <v>0.6041666666666666</v>
      </c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</row>
    <row r="105">
      <c r="A105" s="77" t="s">
        <v>199</v>
      </c>
      <c r="B105" s="47"/>
      <c r="C105" s="47"/>
      <c r="D105" s="47"/>
      <c r="E105" s="47"/>
      <c r="F105" s="47"/>
      <c r="G105" s="47"/>
      <c r="H105" s="47"/>
      <c r="I105" s="47"/>
      <c r="J105" s="48"/>
      <c r="K105" s="86"/>
      <c r="L105" s="86"/>
      <c r="M105" s="86"/>
      <c r="N105" s="86"/>
    </row>
    <row r="106">
      <c r="A106" s="49" t="s">
        <v>1</v>
      </c>
      <c r="B106" s="49" t="s">
        <v>2</v>
      </c>
      <c r="C106" s="49" t="s">
        <v>3</v>
      </c>
      <c r="D106" s="145" t="s">
        <v>4</v>
      </c>
      <c r="E106" s="49" t="s">
        <v>5</v>
      </c>
      <c r="F106" s="50" t="s">
        <v>6</v>
      </c>
      <c r="G106" s="49" t="s">
        <v>7</v>
      </c>
      <c r="H106" s="110" t="s">
        <v>8</v>
      </c>
      <c r="I106" s="51" t="s">
        <v>88</v>
      </c>
      <c r="J106" s="51" t="s">
        <v>89</v>
      </c>
      <c r="K106" s="86"/>
      <c r="L106" s="86"/>
      <c r="M106" s="86"/>
      <c r="N106" s="86"/>
    </row>
    <row r="107">
      <c r="A107" s="146">
        <v>1.0</v>
      </c>
      <c r="B107" s="147">
        <v>46176.0</v>
      </c>
      <c r="C107" s="148">
        <v>26000.0</v>
      </c>
      <c r="D107" s="149" t="s">
        <v>200</v>
      </c>
      <c r="E107" s="148">
        <v>9.96995212114E11</v>
      </c>
      <c r="F107" s="148"/>
      <c r="G107" s="116"/>
      <c r="H107" s="150">
        <v>5000.0</v>
      </c>
      <c r="I107" s="116"/>
      <c r="J107" s="117"/>
      <c r="K107" s="75"/>
      <c r="L107" s="151" t="s">
        <v>32</v>
      </c>
      <c r="M107" s="104" t="s">
        <v>201</v>
      </c>
      <c r="N107" s="86"/>
    </row>
    <row r="108">
      <c r="A108" s="146">
        <v>2.0</v>
      </c>
      <c r="B108" s="20">
        <v>46176.0</v>
      </c>
      <c r="C108" s="19">
        <v>26000.0</v>
      </c>
      <c r="D108" s="13" t="s">
        <v>202</v>
      </c>
      <c r="E108" s="19">
        <v>9.96995062E11</v>
      </c>
      <c r="F108" s="19">
        <v>9.96777060041E11</v>
      </c>
      <c r="G108" s="21"/>
      <c r="H108" s="19">
        <v>26000.0</v>
      </c>
      <c r="I108" s="21"/>
      <c r="J108" s="54"/>
      <c r="K108" s="75"/>
      <c r="L108" s="151" t="s">
        <v>32</v>
      </c>
      <c r="M108" s="86"/>
      <c r="N108" s="86"/>
    </row>
    <row r="109">
      <c r="A109" s="146">
        <v>3.0</v>
      </c>
      <c r="B109" s="20">
        <v>46176.0</v>
      </c>
      <c r="C109" s="19">
        <v>26000.0</v>
      </c>
      <c r="D109" s="13" t="s">
        <v>203</v>
      </c>
      <c r="E109" s="19">
        <v>9.96220038448E11</v>
      </c>
      <c r="F109" s="19"/>
      <c r="G109" s="21"/>
      <c r="H109" s="19">
        <v>26000.0</v>
      </c>
      <c r="I109" s="21"/>
      <c r="J109" s="18"/>
      <c r="K109" s="75"/>
      <c r="L109" s="151" t="s">
        <v>32</v>
      </c>
      <c r="M109" s="86"/>
      <c r="N109" s="86"/>
    </row>
    <row r="110">
      <c r="A110" s="146">
        <v>4.0</v>
      </c>
      <c r="B110" s="20">
        <v>46176.0</v>
      </c>
      <c r="C110" s="19">
        <v>26000.0</v>
      </c>
      <c r="D110" s="13" t="s">
        <v>204</v>
      </c>
      <c r="E110" s="90">
        <v>9.96550404259E11</v>
      </c>
      <c r="F110" s="19"/>
      <c r="G110" s="21"/>
      <c r="H110" s="19">
        <v>26000.0</v>
      </c>
      <c r="I110" s="21"/>
      <c r="J110" s="18"/>
      <c r="K110" s="75"/>
      <c r="L110" s="151" t="s">
        <v>32</v>
      </c>
      <c r="M110" s="86"/>
      <c r="N110" s="86"/>
    </row>
    <row r="111">
      <c r="A111" s="146">
        <v>5.0</v>
      </c>
      <c r="B111" s="20">
        <v>46178.0</v>
      </c>
      <c r="C111" s="19">
        <v>26000.0</v>
      </c>
      <c r="D111" s="13" t="s">
        <v>205</v>
      </c>
      <c r="E111" s="19" t="s">
        <v>206</v>
      </c>
      <c r="F111" s="19"/>
      <c r="G111" s="21"/>
      <c r="H111" s="19">
        <v>26000.0</v>
      </c>
      <c r="I111" s="21"/>
      <c r="J111" s="18"/>
      <c r="K111" s="75"/>
      <c r="L111" s="76" t="s">
        <v>207</v>
      </c>
      <c r="M111" s="86"/>
      <c r="N111" s="86"/>
    </row>
    <row r="112">
      <c r="A112" s="146">
        <v>6.0</v>
      </c>
      <c r="B112" s="20">
        <v>46178.0</v>
      </c>
      <c r="C112" s="19">
        <v>26000.0</v>
      </c>
      <c r="D112" s="13" t="s">
        <v>208</v>
      </c>
      <c r="E112" s="19" t="s">
        <v>209</v>
      </c>
      <c r="F112" s="19" t="s">
        <v>210</v>
      </c>
      <c r="G112" s="21"/>
      <c r="H112" s="19">
        <v>26000.0</v>
      </c>
      <c r="I112" s="21"/>
      <c r="J112" s="18"/>
      <c r="K112" s="75"/>
      <c r="L112" s="151" t="s">
        <v>32</v>
      </c>
      <c r="M112" s="86"/>
      <c r="N112" s="86"/>
    </row>
    <row r="113">
      <c r="A113" s="146">
        <v>7.0</v>
      </c>
      <c r="B113" s="20">
        <v>46181.0</v>
      </c>
      <c r="C113" s="19">
        <v>26000.0</v>
      </c>
      <c r="D113" s="13" t="s">
        <v>211</v>
      </c>
      <c r="E113" s="19">
        <v>9.99302015E8</v>
      </c>
      <c r="F113" s="19" t="s">
        <v>212</v>
      </c>
      <c r="G113" s="21"/>
      <c r="H113" s="152">
        <v>26000.0</v>
      </c>
      <c r="I113" s="21"/>
      <c r="J113" s="54"/>
      <c r="K113" s="75"/>
      <c r="L113" s="153" t="s">
        <v>74</v>
      </c>
      <c r="M113" s="86"/>
      <c r="N113" s="86"/>
    </row>
    <row r="114">
      <c r="A114" s="146">
        <v>8.0</v>
      </c>
      <c r="B114" s="20">
        <v>46181.0</v>
      </c>
      <c r="C114" s="19">
        <v>26000.0</v>
      </c>
      <c r="D114" s="13" t="s">
        <v>213</v>
      </c>
      <c r="E114" s="19">
        <v>2.23543412E8</v>
      </c>
      <c r="F114" s="19" t="s">
        <v>214</v>
      </c>
      <c r="G114" s="146"/>
      <c r="H114" s="19">
        <v>26000.0</v>
      </c>
      <c r="I114" s="146"/>
      <c r="J114" s="18"/>
      <c r="K114" s="75"/>
      <c r="L114" s="151" t="s">
        <v>32</v>
      </c>
      <c r="M114" s="86"/>
      <c r="N114" s="86"/>
    </row>
    <row r="115">
      <c r="A115" s="146">
        <v>9.0</v>
      </c>
      <c r="B115" s="20">
        <v>46198.0</v>
      </c>
      <c r="C115" s="19">
        <v>26000.0</v>
      </c>
      <c r="D115" s="53" t="s">
        <v>215</v>
      </c>
      <c r="E115" s="19">
        <v>9.96701514107E11</v>
      </c>
      <c r="F115" s="154" t="s">
        <v>216</v>
      </c>
      <c r="G115" s="19"/>
      <c r="H115" s="19">
        <v>26000.0</v>
      </c>
      <c r="I115" s="21"/>
      <c r="J115" s="54"/>
      <c r="K115" s="75"/>
      <c r="L115" s="151" t="s">
        <v>20</v>
      </c>
      <c r="M115" s="104" t="s">
        <v>190</v>
      </c>
      <c r="N115" s="86"/>
    </row>
    <row r="116">
      <c r="A116" s="146">
        <v>10.0</v>
      </c>
      <c r="B116" s="20">
        <v>46183.0</v>
      </c>
      <c r="C116" s="19">
        <v>26000.0</v>
      </c>
      <c r="D116" s="13" t="s">
        <v>217</v>
      </c>
      <c r="E116" s="19">
        <v>5.01103416E8</v>
      </c>
      <c r="F116" s="19">
        <v>7.77066667E8</v>
      </c>
      <c r="G116" s="21"/>
      <c r="H116" s="19">
        <v>26000.0</v>
      </c>
      <c r="I116" s="21"/>
      <c r="J116" s="54"/>
      <c r="K116" s="75"/>
      <c r="L116" s="151" t="s">
        <v>32</v>
      </c>
      <c r="M116" s="86"/>
      <c r="N116" s="86"/>
    </row>
    <row r="117">
      <c r="A117" s="146">
        <v>11.0</v>
      </c>
      <c r="B117" s="155">
        <v>46058.0</v>
      </c>
      <c r="C117" s="19">
        <v>10000.0</v>
      </c>
      <c r="D117" s="13" t="s">
        <v>218</v>
      </c>
      <c r="E117" s="19">
        <v>5.56868725E8</v>
      </c>
      <c r="F117" s="19">
        <v>2.27250767E8</v>
      </c>
      <c r="G117" s="146"/>
      <c r="H117" s="19">
        <v>10000.0</v>
      </c>
      <c r="I117" s="21"/>
      <c r="J117" s="54"/>
      <c r="K117" s="75"/>
      <c r="L117" s="151" t="s">
        <v>32</v>
      </c>
      <c r="M117" s="104" t="s">
        <v>219</v>
      </c>
      <c r="N117" s="86"/>
    </row>
    <row r="118">
      <c r="A118" s="146">
        <v>12.0</v>
      </c>
      <c r="B118" s="156">
        <v>46184.0</v>
      </c>
      <c r="C118" s="90">
        <v>26000.0</v>
      </c>
      <c r="D118" s="36" t="s">
        <v>220</v>
      </c>
      <c r="E118" s="90">
        <v>9.9655904908E11</v>
      </c>
      <c r="F118" s="90">
        <v>9.96755666618E11</v>
      </c>
      <c r="G118" s="157"/>
      <c r="H118" s="90">
        <v>22000.0</v>
      </c>
      <c r="I118" s="90" t="s">
        <v>221</v>
      </c>
      <c r="J118" s="5"/>
      <c r="K118" s="75"/>
      <c r="L118" s="151" t="s">
        <v>32</v>
      </c>
      <c r="M118" s="86"/>
      <c r="N118" s="86"/>
    </row>
    <row r="119">
      <c r="A119" s="146">
        <v>13.0</v>
      </c>
      <c r="B119" s="156">
        <v>46186.0</v>
      </c>
      <c r="C119" s="90">
        <v>26000.0</v>
      </c>
      <c r="D119" s="36" t="s">
        <v>222</v>
      </c>
      <c r="E119" s="154" t="s">
        <v>223</v>
      </c>
      <c r="F119" s="158" t="s">
        <v>224</v>
      </c>
      <c r="G119" s="157"/>
      <c r="H119" s="90">
        <v>26000.0</v>
      </c>
      <c r="I119" s="159"/>
      <c r="J119" s="5"/>
      <c r="K119" s="75"/>
      <c r="L119" s="76" t="s">
        <v>20</v>
      </c>
      <c r="M119" s="104"/>
      <c r="N119" s="86"/>
    </row>
    <row r="120">
      <c r="A120" s="146">
        <v>14.0</v>
      </c>
      <c r="B120" s="160">
        <v>46185.0</v>
      </c>
      <c r="C120" s="90">
        <v>22000.0</v>
      </c>
      <c r="D120" s="36" t="s">
        <v>225</v>
      </c>
      <c r="E120" s="90" t="s">
        <v>226</v>
      </c>
      <c r="F120" s="90" t="s">
        <v>227</v>
      </c>
      <c r="G120" s="157"/>
      <c r="H120" s="90">
        <v>22000.0</v>
      </c>
      <c r="I120" s="90" t="s">
        <v>221</v>
      </c>
      <c r="J120" s="5"/>
      <c r="K120" s="75"/>
      <c r="L120" s="76" t="s">
        <v>20</v>
      </c>
      <c r="M120" s="86"/>
      <c r="N120" s="86"/>
    </row>
    <row r="121">
      <c r="A121" s="146">
        <v>15.0</v>
      </c>
      <c r="B121" s="160">
        <v>46186.0</v>
      </c>
      <c r="C121" s="90">
        <v>26000.0</v>
      </c>
      <c r="D121" s="36" t="s">
        <v>228</v>
      </c>
      <c r="E121" s="90" t="s">
        <v>229</v>
      </c>
      <c r="F121" s="90" t="s">
        <v>230</v>
      </c>
      <c r="G121" s="157"/>
      <c r="H121" s="90">
        <v>10000.0</v>
      </c>
      <c r="I121" s="90"/>
      <c r="J121" s="90"/>
      <c r="K121" s="75"/>
      <c r="L121" s="76" t="s">
        <v>32</v>
      </c>
      <c r="M121" s="86"/>
      <c r="N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</row>
    <row r="125">
      <c r="A125" s="77" t="s">
        <v>231</v>
      </c>
      <c r="B125" s="47"/>
      <c r="C125" s="47"/>
      <c r="D125" s="47"/>
      <c r="E125" s="47"/>
      <c r="F125" s="47"/>
      <c r="G125" s="47"/>
      <c r="H125" s="47"/>
      <c r="I125" s="47"/>
      <c r="J125" s="48"/>
      <c r="K125" s="86"/>
      <c r="L125" s="86"/>
      <c r="M125" s="86"/>
      <c r="N125" s="86"/>
    </row>
    <row r="126">
      <c r="A126" s="49" t="s">
        <v>1</v>
      </c>
      <c r="B126" s="49" t="s">
        <v>2</v>
      </c>
      <c r="C126" s="49" t="s">
        <v>3</v>
      </c>
      <c r="D126" s="145" t="s">
        <v>4</v>
      </c>
      <c r="E126" s="49" t="s">
        <v>5</v>
      </c>
      <c r="F126" s="50" t="s">
        <v>6</v>
      </c>
      <c r="G126" s="49" t="s">
        <v>7</v>
      </c>
      <c r="H126" s="110" t="s">
        <v>8</v>
      </c>
      <c r="I126" s="51" t="s">
        <v>88</v>
      </c>
      <c r="J126" s="51" t="s">
        <v>89</v>
      </c>
      <c r="K126" s="86"/>
      <c r="L126" s="86"/>
      <c r="M126" s="86"/>
      <c r="N126" s="86"/>
    </row>
    <row r="127">
      <c r="A127" s="146">
        <v>1.0</v>
      </c>
      <c r="B127" s="147"/>
      <c r="C127" s="148"/>
      <c r="D127" s="161" t="s">
        <v>232</v>
      </c>
      <c r="E127" s="148"/>
      <c r="F127" s="148"/>
      <c r="G127" s="116"/>
      <c r="H127" s="115">
        <v>30000.0</v>
      </c>
      <c r="I127" s="116"/>
      <c r="J127" s="117"/>
      <c r="K127" s="75"/>
      <c r="L127" s="151" t="s">
        <v>32</v>
      </c>
      <c r="M127" s="104" t="s">
        <v>201</v>
      </c>
      <c r="N127" s="86"/>
    </row>
    <row r="128">
      <c r="A128" s="16">
        <v>2.0</v>
      </c>
      <c r="B128" s="28">
        <v>46204.0</v>
      </c>
      <c r="C128" s="13">
        <v>24000.0</v>
      </c>
      <c r="D128" s="161" t="s">
        <v>233</v>
      </c>
      <c r="E128" s="13">
        <v>7.9665055033E10</v>
      </c>
      <c r="F128" s="13" t="s">
        <v>234</v>
      </c>
      <c r="G128" s="121"/>
      <c r="H128" s="13">
        <v>24000.0</v>
      </c>
      <c r="I128" s="121"/>
      <c r="J128" s="121"/>
      <c r="K128" s="162"/>
      <c r="L128" s="163" t="s">
        <v>32</v>
      </c>
      <c r="M128" s="164"/>
      <c r="N128" s="164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</row>
    <row r="129">
      <c r="A129" s="146">
        <v>3.0</v>
      </c>
      <c r="B129" s="20"/>
      <c r="C129" s="19"/>
      <c r="D129" s="13" t="s">
        <v>235</v>
      </c>
      <c r="E129" s="19"/>
      <c r="F129" s="19"/>
      <c r="G129" s="21"/>
      <c r="H129" s="59">
        <v>30000.0</v>
      </c>
      <c r="I129" s="21"/>
      <c r="J129" s="18"/>
      <c r="K129" s="75"/>
      <c r="L129" s="151" t="s">
        <v>32</v>
      </c>
      <c r="M129" s="86"/>
      <c r="N129" s="86"/>
    </row>
    <row r="130">
      <c r="A130" s="146">
        <v>4.0</v>
      </c>
      <c r="B130" s="20"/>
      <c r="C130" s="19"/>
      <c r="D130" s="13" t="s">
        <v>236</v>
      </c>
      <c r="E130" s="90"/>
      <c r="F130" s="19"/>
      <c r="G130" s="21"/>
      <c r="H130" s="19">
        <v>30000.0</v>
      </c>
      <c r="I130" s="21"/>
      <c r="J130" s="18"/>
      <c r="K130" s="75"/>
      <c r="L130" s="151" t="s">
        <v>32</v>
      </c>
      <c r="M130" s="86"/>
      <c r="N130" s="86"/>
    </row>
    <row r="131">
      <c r="A131" s="146">
        <v>5.0</v>
      </c>
      <c r="B131" s="20"/>
      <c r="C131" s="19"/>
      <c r="D131" s="13" t="s">
        <v>237</v>
      </c>
      <c r="E131" s="19"/>
      <c r="F131" s="19"/>
      <c r="G131" s="21"/>
      <c r="H131" s="19">
        <v>30000.0</v>
      </c>
      <c r="I131" s="21"/>
      <c r="J131" s="18"/>
      <c r="K131" s="75"/>
      <c r="L131" s="76" t="s">
        <v>207</v>
      </c>
      <c r="M131" s="86"/>
      <c r="N131" s="86"/>
    </row>
    <row r="132">
      <c r="A132" s="146">
        <v>6.0</v>
      </c>
      <c r="B132" s="20"/>
      <c r="C132" s="19"/>
      <c r="D132" s="13" t="s">
        <v>238</v>
      </c>
      <c r="E132" s="19"/>
      <c r="F132" s="19"/>
      <c r="G132" s="21"/>
      <c r="H132" s="19">
        <v>30000.0</v>
      </c>
      <c r="I132" s="21"/>
      <c r="J132" s="18"/>
      <c r="K132" s="75"/>
      <c r="L132" s="151" t="s">
        <v>32</v>
      </c>
      <c r="M132" s="86"/>
      <c r="N132" s="86"/>
    </row>
    <row r="133">
      <c r="A133" s="146">
        <v>7.0</v>
      </c>
      <c r="B133" s="20"/>
      <c r="C133" s="19"/>
      <c r="D133" s="13" t="s">
        <v>239</v>
      </c>
      <c r="E133" s="19"/>
      <c r="F133" s="19"/>
      <c r="G133" s="21"/>
      <c r="H133" s="152">
        <v>30000.0</v>
      </c>
      <c r="I133" s="21"/>
      <c r="J133" s="54"/>
      <c r="K133" s="75"/>
      <c r="L133" s="153" t="s">
        <v>74</v>
      </c>
      <c r="M133" s="86"/>
      <c r="N133" s="86"/>
    </row>
    <row r="134">
      <c r="A134" s="146">
        <v>8.0</v>
      </c>
      <c r="B134" s="20"/>
      <c r="C134" s="19"/>
      <c r="D134" s="13" t="s">
        <v>240</v>
      </c>
      <c r="E134" s="19"/>
      <c r="F134" s="19"/>
      <c r="G134" s="146"/>
      <c r="H134" s="13">
        <v>30000.0</v>
      </c>
      <c r="I134" s="146"/>
      <c r="J134" s="18"/>
      <c r="K134" s="75"/>
      <c r="L134" s="151" t="s">
        <v>32</v>
      </c>
      <c r="M134" s="86"/>
      <c r="N134" s="86"/>
    </row>
    <row r="135">
      <c r="A135" s="146">
        <v>9.0</v>
      </c>
      <c r="B135" s="165"/>
      <c r="C135" s="18"/>
      <c r="D135" s="53" t="s">
        <v>241</v>
      </c>
      <c r="E135" s="18"/>
      <c r="F135" s="18"/>
      <c r="G135" s="18"/>
      <c r="H135" s="13">
        <v>30000.0</v>
      </c>
      <c r="I135" s="21"/>
      <c r="J135" s="54"/>
      <c r="K135" s="75"/>
      <c r="L135" s="151" t="s">
        <v>32</v>
      </c>
      <c r="M135" s="86"/>
      <c r="N135" s="86"/>
    </row>
    <row r="136">
      <c r="A136" s="146">
        <v>10.0</v>
      </c>
      <c r="B136" s="20"/>
      <c r="C136" s="19"/>
      <c r="D136" s="13" t="s">
        <v>242</v>
      </c>
      <c r="E136" s="19"/>
      <c r="F136" s="19"/>
      <c r="G136" s="21"/>
      <c r="H136" s="19">
        <v>10000.0</v>
      </c>
      <c r="I136" s="21"/>
      <c r="J136" s="54"/>
      <c r="K136" s="75"/>
      <c r="L136" s="151" t="s">
        <v>32</v>
      </c>
      <c r="M136" s="86"/>
      <c r="N136" s="86"/>
    </row>
    <row r="137">
      <c r="A137" s="146">
        <v>11.0</v>
      </c>
      <c r="B137" s="20"/>
      <c r="C137" s="106"/>
      <c r="D137" s="13" t="s">
        <v>243</v>
      </c>
      <c r="E137" s="19"/>
      <c r="F137" s="19"/>
      <c r="G137" s="21"/>
      <c r="H137" s="19">
        <v>30000.0</v>
      </c>
      <c r="I137" s="21"/>
      <c r="J137" s="54"/>
      <c r="K137" s="75"/>
      <c r="L137" s="151" t="s">
        <v>32</v>
      </c>
      <c r="M137" s="104" t="s">
        <v>219</v>
      </c>
      <c r="N137" s="86"/>
    </row>
    <row r="138">
      <c r="A138" s="146">
        <v>12.0</v>
      </c>
      <c r="B138" s="156"/>
      <c r="C138" s="90"/>
      <c r="D138" s="36" t="s">
        <v>244</v>
      </c>
      <c r="E138" s="90"/>
      <c r="F138" s="90"/>
      <c r="G138" s="157"/>
      <c r="H138" s="90">
        <v>5000.0</v>
      </c>
      <c r="I138" s="90"/>
      <c r="J138" s="5"/>
      <c r="K138" s="75"/>
      <c r="L138" s="151" t="s">
        <v>32</v>
      </c>
      <c r="M138" s="86"/>
      <c r="N138" s="86"/>
    </row>
    <row r="139">
      <c r="A139" s="146">
        <v>13.0</v>
      </c>
      <c r="B139" s="156"/>
      <c r="C139" s="90"/>
      <c r="D139" s="36" t="s">
        <v>245</v>
      </c>
      <c r="E139" s="154"/>
      <c r="F139" s="158"/>
      <c r="G139" s="157"/>
      <c r="H139" s="36">
        <v>30000.0</v>
      </c>
      <c r="I139" s="159"/>
      <c r="J139" s="5"/>
      <c r="K139" s="75"/>
      <c r="L139" s="76" t="s">
        <v>246</v>
      </c>
      <c r="M139" s="104"/>
      <c r="N139" s="86"/>
    </row>
    <row r="140">
      <c r="A140" s="146">
        <v>14.0</v>
      </c>
      <c r="B140" s="160">
        <v>46202.0</v>
      </c>
      <c r="C140" s="90">
        <v>15000.0</v>
      </c>
      <c r="D140" s="90" t="s">
        <v>247</v>
      </c>
      <c r="E140" s="90"/>
      <c r="F140" s="90"/>
      <c r="G140" s="157"/>
      <c r="H140" s="90">
        <v>15000.0</v>
      </c>
      <c r="I140" s="90"/>
      <c r="J140" s="5"/>
      <c r="K140" s="75"/>
      <c r="L140" s="166" t="s">
        <v>20</v>
      </c>
      <c r="M140" s="86"/>
      <c r="N140" s="86"/>
    </row>
    <row r="141">
      <c r="A141" s="146">
        <v>15.0</v>
      </c>
      <c r="B141" s="160">
        <v>46200.0</v>
      </c>
      <c r="C141" s="90">
        <v>30000.0</v>
      </c>
      <c r="D141" s="36" t="s">
        <v>248</v>
      </c>
      <c r="E141" s="90" t="s">
        <v>249</v>
      </c>
      <c r="F141" s="90" t="s">
        <v>250</v>
      </c>
      <c r="G141" s="157"/>
      <c r="H141" s="90">
        <v>30000.0</v>
      </c>
      <c r="I141" s="90"/>
      <c r="J141" s="90"/>
      <c r="K141" s="75"/>
      <c r="L141" s="76" t="s">
        <v>246</v>
      </c>
      <c r="M141" s="86"/>
      <c r="N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</row>
    <row r="148">
      <c r="A148" s="86"/>
      <c r="B148" s="86"/>
      <c r="C148" s="86"/>
      <c r="D148" s="86"/>
      <c r="E148" s="86"/>
      <c r="F148" s="104" t="s">
        <v>251</v>
      </c>
      <c r="G148" s="86"/>
      <c r="H148" s="86"/>
      <c r="I148" s="86"/>
      <c r="J148" s="86"/>
      <c r="K148" s="86"/>
      <c r="L148" s="86"/>
      <c r="M148" s="86"/>
      <c r="N148" s="86"/>
    </row>
    <row r="149">
      <c r="A149" s="86"/>
      <c r="B149" s="86"/>
      <c r="C149" s="86"/>
      <c r="D149" s="86"/>
      <c r="E149" s="104">
        <v>13.07</v>
      </c>
      <c r="F149" s="86"/>
      <c r="G149" s="86"/>
      <c r="H149" s="86"/>
      <c r="I149" s="86"/>
      <c r="J149" s="86"/>
      <c r="K149" s="86"/>
      <c r="L149" s="86"/>
      <c r="M149" s="86"/>
      <c r="N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</row>
    <row r="151">
      <c r="A151" s="77" t="s">
        <v>252</v>
      </c>
      <c r="B151" s="47"/>
      <c r="C151" s="47"/>
      <c r="D151" s="47"/>
      <c r="E151" s="47"/>
      <c r="F151" s="47"/>
      <c r="G151" s="47"/>
      <c r="H151" s="47"/>
      <c r="I151" s="47"/>
      <c r="J151" s="48"/>
      <c r="K151" s="86"/>
      <c r="L151" s="86"/>
      <c r="M151" s="86"/>
      <c r="N151" s="86"/>
    </row>
    <row r="152">
      <c r="A152" s="49" t="s">
        <v>1</v>
      </c>
      <c r="B152" s="49" t="s">
        <v>2</v>
      </c>
      <c r="C152" s="49" t="s">
        <v>3</v>
      </c>
      <c r="D152" s="145" t="s">
        <v>4</v>
      </c>
      <c r="E152" s="49" t="s">
        <v>5</v>
      </c>
      <c r="F152" s="50" t="s">
        <v>6</v>
      </c>
      <c r="G152" s="49" t="s">
        <v>7</v>
      </c>
      <c r="H152" s="110" t="s">
        <v>8</v>
      </c>
      <c r="I152" s="51" t="s">
        <v>88</v>
      </c>
      <c r="J152" s="51" t="s">
        <v>89</v>
      </c>
      <c r="K152" s="86"/>
      <c r="L152" s="86"/>
      <c r="M152" s="86"/>
      <c r="N152" s="86"/>
    </row>
    <row r="153">
      <c r="A153" s="146">
        <v>1.0</v>
      </c>
      <c r="B153" s="147">
        <v>46174.0</v>
      </c>
      <c r="C153" s="148">
        <v>15000.0</v>
      </c>
      <c r="D153" s="167" t="s">
        <v>253</v>
      </c>
      <c r="E153" s="148" t="s">
        <v>254</v>
      </c>
      <c r="F153" s="148" t="s">
        <v>255</v>
      </c>
      <c r="G153" s="150">
        <v>2008.0</v>
      </c>
      <c r="H153" s="115">
        <v>15000.0</v>
      </c>
      <c r="I153" s="116"/>
      <c r="J153" s="117"/>
      <c r="K153" s="168" t="s">
        <v>32</v>
      </c>
      <c r="L153" s="86"/>
      <c r="M153" s="86"/>
      <c r="N153" s="86"/>
    </row>
    <row r="154">
      <c r="A154" s="146">
        <v>2.0</v>
      </c>
      <c r="B154" s="20"/>
      <c r="C154" s="19"/>
      <c r="D154" s="169" t="s">
        <v>256</v>
      </c>
      <c r="E154" s="19"/>
      <c r="F154" s="19"/>
      <c r="G154" s="21"/>
      <c r="H154" s="59"/>
      <c r="I154" s="21"/>
      <c r="J154" s="54"/>
      <c r="K154" s="104" t="s">
        <v>257</v>
      </c>
      <c r="L154" s="86"/>
      <c r="M154" s="86"/>
      <c r="N154" s="86"/>
    </row>
    <row r="155">
      <c r="A155" s="146">
        <v>3.0</v>
      </c>
      <c r="B155" s="20"/>
      <c r="C155" s="19"/>
      <c r="D155" s="19"/>
      <c r="E155" s="19"/>
      <c r="F155" s="19" t="s">
        <v>0</v>
      </c>
      <c r="G155" s="21"/>
      <c r="H155" s="59"/>
      <c r="I155" s="21"/>
      <c r="J155" s="18"/>
      <c r="K155" s="86"/>
      <c r="L155" s="86"/>
      <c r="M155" s="86"/>
      <c r="N155" s="86"/>
    </row>
    <row r="156">
      <c r="A156" s="146">
        <v>4.0</v>
      </c>
      <c r="B156" s="20"/>
      <c r="C156" s="19"/>
      <c r="D156" s="19"/>
      <c r="E156" s="90"/>
      <c r="F156" s="19"/>
      <c r="G156" s="21"/>
      <c r="H156" s="19"/>
      <c r="I156" s="21"/>
      <c r="J156" s="18"/>
      <c r="K156" s="86"/>
      <c r="L156" s="86"/>
      <c r="M156" s="86"/>
      <c r="N156" s="86"/>
    </row>
    <row r="157">
      <c r="A157" s="146">
        <v>5.0</v>
      </c>
      <c r="B157" s="20"/>
      <c r="C157" s="19"/>
      <c r="D157" s="19"/>
      <c r="E157" s="19"/>
      <c r="F157" s="19"/>
      <c r="G157" s="21"/>
      <c r="H157" s="19"/>
      <c r="I157" s="21"/>
      <c r="J157" s="18"/>
      <c r="K157" s="86"/>
      <c r="L157" s="86"/>
      <c r="M157" s="86"/>
      <c r="N157" s="86"/>
    </row>
    <row r="158">
      <c r="A158" s="146">
        <v>6.0</v>
      </c>
      <c r="B158" s="20"/>
      <c r="C158" s="19"/>
      <c r="D158" s="19"/>
      <c r="E158" s="19"/>
      <c r="F158" s="19"/>
      <c r="G158" s="21"/>
      <c r="H158" s="19"/>
      <c r="I158" s="21"/>
      <c r="J158" s="18"/>
      <c r="K158" s="86"/>
      <c r="L158" s="86"/>
      <c r="M158" s="86"/>
      <c r="N158" s="86"/>
    </row>
    <row r="159">
      <c r="A159" s="146">
        <v>7.0</v>
      </c>
      <c r="B159" s="20"/>
      <c r="C159" s="19"/>
      <c r="D159" s="19"/>
      <c r="E159" s="19"/>
      <c r="F159" s="19"/>
      <c r="G159" s="21"/>
      <c r="H159" s="152"/>
      <c r="I159" s="21"/>
      <c r="J159" s="54"/>
      <c r="K159" s="86"/>
      <c r="L159" s="86"/>
      <c r="M159" s="86"/>
      <c r="N159" s="86"/>
    </row>
    <row r="160">
      <c r="A160" s="146">
        <v>8.0</v>
      </c>
      <c r="B160" s="20"/>
      <c r="C160" s="19"/>
      <c r="D160" s="19"/>
      <c r="E160" s="19"/>
      <c r="F160" s="19"/>
      <c r="G160" s="146"/>
      <c r="H160" s="13"/>
      <c r="I160" s="146"/>
      <c r="J160" s="18"/>
      <c r="K160" s="86"/>
      <c r="L160" s="86"/>
      <c r="M160" s="86"/>
      <c r="N160" s="86"/>
    </row>
    <row r="161">
      <c r="A161" s="146">
        <v>9.0</v>
      </c>
      <c r="B161" s="165"/>
      <c r="C161" s="18"/>
      <c r="D161" s="170"/>
      <c r="E161" s="18"/>
      <c r="F161" s="18"/>
      <c r="G161" s="18"/>
      <c r="H161" s="13"/>
      <c r="I161" s="21"/>
      <c r="J161" s="54"/>
      <c r="K161" s="86"/>
      <c r="L161" s="86"/>
      <c r="M161" s="86"/>
      <c r="N161" s="86"/>
    </row>
    <row r="162">
      <c r="A162" s="146">
        <v>10.0</v>
      </c>
      <c r="B162" s="20"/>
      <c r="C162" s="19"/>
      <c r="D162" s="19"/>
      <c r="E162" s="19"/>
      <c r="F162" s="19"/>
      <c r="G162" s="21"/>
      <c r="H162" s="19"/>
      <c r="I162" s="21"/>
      <c r="J162" s="54"/>
      <c r="K162" s="86"/>
      <c r="L162" s="86"/>
      <c r="M162" s="86"/>
      <c r="N162" s="86"/>
    </row>
    <row r="163">
      <c r="A163" s="146">
        <v>11.0</v>
      </c>
      <c r="B163" s="20"/>
      <c r="C163" s="106"/>
      <c r="D163" s="19"/>
      <c r="E163" s="19"/>
      <c r="F163" s="19"/>
      <c r="G163" s="21"/>
      <c r="H163" s="19"/>
      <c r="I163" s="21"/>
      <c r="J163" s="54"/>
      <c r="K163" s="86"/>
      <c r="L163" s="86"/>
      <c r="M163" s="86"/>
      <c r="N163" s="86"/>
    </row>
    <row r="164">
      <c r="A164" s="146">
        <v>12.0</v>
      </c>
      <c r="B164" s="156"/>
      <c r="C164" s="90"/>
      <c r="D164" s="90"/>
      <c r="E164" s="90"/>
      <c r="F164" s="90"/>
      <c r="G164" s="157"/>
      <c r="H164" s="90"/>
      <c r="I164" s="90"/>
      <c r="J164" s="5"/>
      <c r="K164" s="86"/>
      <c r="L164" s="86"/>
      <c r="M164" s="86"/>
      <c r="N164" s="86"/>
    </row>
    <row r="165">
      <c r="A165" s="146">
        <v>13.0</v>
      </c>
      <c r="B165" s="156"/>
      <c r="C165" s="90"/>
      <c r="D165" s="90"/>
      <c r="E165" s="154"/>
      <c r="F165" s="158"/>
      <c r="G165" s="157"/>
      <c r="H165" s="36"/>
      <c r="I165" s="159"/>
      <c r="J165" s="5"/>
      <c r="K165" s="86"/>
      <c r="L165" s="86"/>
      <c r="M165" s="86"/>
      <c r="N165" s="86"/>
    </row>
    <row r="166">
      <c r="A166" s="146">
        <v>14.0</v>
      </c>
      <c r="B166" s="160">
        <v>46205.0</v>
      </c>
      <c r="C166" s="90">
        <v>15000.0</v>
      </c>
      <c r="D166" s="90" t="s">
        <v>258</v>
      </c>
      <c r="E166" s="90">
        <v>5.07425826E8</v>
      </c>
      <c r="F166" s="90"/>
      <c r="G166" s="157"/>
      <c r="H166" s="90">
        <v>15000.0</v>
      </c>
      <c r="I166" s="90"/>
      <c r="J166" s="5"/>
      <c r="K166" s="86"/>
      <c r="L166" s="86"/>
      <c r="M166" s="86"/>
      <c r="N166" s="86"/>
    </row>
    <row r="167">
      <c r="A167" s="146">
        <v>15.0</v>
      </c>
      <c r="B167" s="160">
        <v>46174.0</v>
      </c>
      <c r="C167" s="90">
        <v>24000.0</v>
      </c>
      <c r="D167" s="90" t="s">
        <v>259</v>
      </c>
      <c r="E167" s="90"/>
      <c r="F167" s="90"/>
      <c r="G167" s="157"/>
      <c r="H167" s="90">
        <v>15000.0</v>
      </c>
      <c r="I167" s="90"/>
      <c r="J167" s="90"/>
      <c r="K167" s="168" t="s">
        <v>32</v>
      </c>
      <c r="L167" s="86"/>
      <c r="M167" s="86"/>
      <c r="N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</row>
  </sheetData>
  <mergeCells count="8">
    <mergeCell ref="A1:J1"/>
    <mergeCell ref="A19:J19"/>
    <mergeCell ref="A40:J40"/>
    <mergeCell ref="A59:J59"/>
    <mergeCell ref="A77:J77"/>
    <mergeCell ref="A105:J105"/>
    <mergeCell ref="A125:J125"/>
    <mergeCell ref="A151:J1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0.5"/>
    <col customWidth="1" min="4" max="4" width="23.75"/>
    <col customWidth="1" min="5" max="5" width="11.25"/>
    <col customWidth="1" min="6" max="6" width="14.13"/>
    <col customWidth="1" min="12" max="12" width="24.88"/>
  </cols>
  <sheetData>
    <row r="1">
      <c r="B1" s="30"/>
      <c r="C1" s="30"/>
    </row>
    <row r="2" ht="27.0" customHeight="1">
      <c r="A2" s="171" t="s">
        <v>260</v>
      </c>
      <c r="B2" s="172"/>
      <c r="C2" s="172"/>
      <c r="D2" s="172"/>
      <c r="E2" s="172"/>
      <c r="F2" s="172"/>
      <c r="G2" s="172"/>
      <c r="H2" s="172"/>
      <c r="I2" s="172"/>
      <c r="J2" s="173"/>
      <c r="K2" s="174">
        <f>SUM(H4:H19)</f>
        <v>19000</v>
      </c>
    </row>
    <row r="3">
      <c r="A3" s="175" t="s">
        <v>1</v>
      </c>
      <c r="B3" s="175" t="s">
        <v>2</v>
      </c>
      <c r="C3" s="175" t="s">
        <v>3</v>
      </c>
      <c r="D3" s="175" t="s">
        <v>4</v>
      </c>
      <c r="E3" s="175" t="s">
        <v>5</v>
      </c>
      <c r="F3" s="176" t="s">
        <v>6</v>
      </c>
      <c r="G3" s="177" t="s">
        <v>7</v>
      </c>
      <c r="H3" s="178" t="s">
        <v>8</v>
      </c>
      <c r="I3" s="179" t="s">
        <v>9</v>
      </c>
      <c r="J3" s="180" t="s">
        <v>49</v>
      </c>
    </row>
    <row r="4">
      <c r="A4" s="181">
        <v>1.0</v>
      </c>
      <c r="B4" s="182">
        <v>46147.0</v>
      </c>
      <c r="C4" s="183">
        <v>10000.0</v>
      </c>
      <c r="D4" s="184" t="s">
        <v>261</v>
      </c>
      <c r="E4" s="185" t="s">
        <v>262</v>
      </c>
      <c r="F4" s="186" t="s">
        <v>263</v>
      </c>
      <c r="G4" s="187">
        <v>40625.0</v>
      </c>
      <c r="H4" s="185">
        <v>9000.0</v>
      </c>
      <c r="I4" s="188"/>
      <c r="J4" s="189"/>
      <c r="K4" s="30"/>
      <c r="L4" s="30" t="s">
        <v>32</v>
      </c>
    </row>
    <row r="5">
      <c r="A5" s="190">
        <v>2.0</v>
      </c>
      <c r="B5" s="191">
        <v>46148.0</v>
      </c>
      <c r="C5" s="183">
        <v>10000.0</v>
      </c>
      <c r="D5" s="184" t="s">
        <v>264</v>
      </c>
      <c r="E5" s="185" t="s">
        <v>265</v>
      </c>
      <c r="F5" s="186" t="s">
        <v>266</v>
      </c>
      <c r="G5" s="192">
        <v>40498.0</v>
      </c>
      <c r="H5" s="185">
        <v>10000.0</v>
      </c>
      <c r="I5" s="188"/>
      <c r="J5" s="189"/>
      <c r="L5" s="30" t="s">
        <v>32</v>
      </c>
    </row>
    <row r="6">
      <c r="A6" s="190">
        <v>3.0</v>
      </c>
      <c r="B6" s="188"/>
      <c r="C6" s="183"/>
      <c r="D6" s="193" t="s">
        <v>267</v>
      </c>
      <c r="E6" s="185"/>
      <c r="F6" s="138"/>
      <c r="G6" s="138"/>
      <c r="H6" s="185"/>
      <c r="I6" s="188"/>
      <c r="J6" s="189"/>
      <c r="L6" s="30" t="s">
        <v>193</v>
      </c>
    </row>
    <row r="7">
      <c r="A7" s="190">
        <v>4.0</v>
      </c>
      <c r="B7" s="188"/>
      <c r="C7" s="183">
        <v>1000.0</v>
      </c>
      <c r="D7" s="194" t="s">
        <v>268</v>
      </c>
      <c r="E7" s="185"/>
      <c r="F7" s="138"/>
      <c r="G7" s="138"/>
      <c r="H7" s="185"/>
      <c r="I7" s="195"/>
      <c r="J7" s="196"/>
      <c r="K7" s="30"/>
      <c r="L7" s="30" t="s">
        <v>193</v>
      </c>
      <c r="M7" s="30" t="s">
        <v>269</v>
      </c>
    </row>
    <row r="8">
      <c r="A8" s="190">
        <v>5.0</v>
      </c>
      <c r="B8" s="197"/>
      <c r="C8" s="198"/>
      <c r="D8" s="199"/>
      <c r="E8" s="184"/>
      <c r="F8" s="200"/>
      <c r="G8" s="201"/>
      <c r="H8" s="184"/>
      <c r="I8" s="202"/>
      <c r="J8" s="203"/>
      <c r="K8" s="204"/>
    </row>
    <row r="9" ht="17.25" customHeight="1">
      <c r="A9" s="190">
        <v>6.0</v>
      </c>
      <c r="B9" s="202"/>
      <c r="C9" s="198"/>
      <c r="D9" s="205" t="s">
        <v>270</v>
      </c>
      <c r="E9" s="184" t="s">
        <v>271</v>
      </c>
      <c r="F9" s="206"/>
      <c r="G9" s="206"/>
      <c r="H9" s="184"/>
      <c r="I9" s="202"/>
      <c r="J9" s="203"/>
      <c r="K9" s="204"/>
    </row>
    <row r="10">
      <c r="A10" s="190">
        <v>7.0</v>
      </c>
      <c r="B10" s="188"/>
      <c r="C10" s="183"/>
      <c r="D10" s="185"/>
      <c r="E10" s="185"/>
      <c r="F10" s="138"/>
      <c r="G10" s="138"/>
      <c r="H10" s="185"/>
      <c r="I10" s="188"/>
      <c r="J10" s="189"/>
    </row>
    <row r="11">
      <c r="A11" s="190">
        <v>8.0</v>
      </c>
      <c r="B11" s="188"/>
      <c r="C11" s="183"/>
      <c r="D11" s="185"/>
      <c r="E11" s="185"/>
      <c r="F11" s="138"/>
      <c r="G11" s="138"/>
      <c r="H11" s="185"/>
      <c r="I11" s="188"/>
      <c r="J11" s="189"/>
    </row>
    <row r="12">
      <c r="A12" s="190">
        <v>9.0</v>
      </c>
      <c r="B12" s="188"/>
      <c r="C12" s="183"/>
      <c r="D12" s="185"/>
      <c r="E12" s="185"/>
      <c r="F12" s="138"/>
      <c r="G12" s="138"/>
      <c r="H12" s="185"/>
      <c r="I12" s="195"/>
      <c r="J12" s="189"/>
    </row>
    <row r="13">
      <c r="A13" s="190">
        <v>10.0</v>
      </c>
      <c r="B13" s="188"/>
      <c r="C13" s="183"/>
      <c r="D13" s="185"/>
      <c r="E13" s="185"/>
      <c r="F13" s="138"/>
      <c r="G13" s="138"/>
      <c r="H13" s="185"/>
      <c r="I13" s="188"/>
      <c r="J13" s="189"/>
    </row>
    <row r="14">
      <c r="A14" s="190">
        <v>11.0</v>
      </c>
      <c r="B14" s="188"/>
      <c r="C14" s="183"/>
      <c r="D14" s="207"/>
      <c r="E14" s="186"/>
      <c r="F14" s="138"/>
      <c r="G14" s="138"/>
      <c r="H14" s="186"/>
      <c r="I14" s="188"/>
      <c r="J14" s="189"/>
    </row>
    <row r="15">
      <c r="A15" s="190">
        <v>12.0</v>
      </c>
      <c r="B15" s="188"/>
      <c r="C15" s="183"/>
      <c r="D15" s="208"/>
      <c r="E15" s="186"/>
      <c r="F15" s="186"/>
      <c r="G15" s="209"/>
      <c r="H15" s="186"/>
      <c r="I15" s="210"/>
      <c r="J15" s="189"/>
    </row>
    <row r="16">
      <c r="A16" s="190">
        <v>13.0</v>
      </c>
      <c r="B16" s="188"/>
      <c r="C16" s="183"/>
      <c r="D16" s="186"/>
      <c r="E16" s="186"/>
      <c r="F16" s="186"/>
      <c r="G16" s="209"/>
      <c r="H16" s="186"/>
      <c r="I16" s="210"/>
      <c r="J16" s="189"/>
    </row>
    <row r="17">
      <c r="A17" s="190">
        <v>14.0</v>
      </c>
      <c r="B17" s="188"/>
      <c r="C17" s="183"/>
      <c r="D17" s="186"/>
      <c r="E17" s="186"/>
      <c r="F17" s="186"/>
      <c r="G17" s="209"/>
      <c r="H17" s="186"/>
      <c r="I17" s="210"/>
      <c r="J17" s="189"/>
    </row>
    <row r="18">
      <c r="A18" s="211">
        <v>15.0</v>
      </c>
      <c r="B18" s="212"/>
      <c r="C18" s="183"/>
      <c r="D18" s="213"/>
      <c r="E18" s="213"/>
      <c r="F18" s="213"/>
      <c r="G18" s="214"/>
      <c r="H18" s="213"/>
      <c r="I18" s="215"/>
      <c r="J18" s="216"/>
    </row>
    <row r="19">
      <c r="A19" s="190">
        <v>16.0</v>
      </c>
      <c r="B19" s="138"/>
      <c r="C19" s="183"/>
      <c r="D19" s="186"/>
      <c r="E19" s="186"/>
      <c r="F19" s="186"/>
      <c r="G19" s="138"/>
      <c r="H19" s="186"/>
      <c r="I19" s="138"/>
      <c r="J19" s="138"/>
    </row>
    <row r="23">
      <c r="A23" s="171" t="s">
        <v>272</v>
      </c>
      <c r="B23" s="172"/>
      <c r="C23" s="172"/>
      <c r="D23" s="172"/>
      <c r="E23" s="172"/>
      <c r="F23" s="172"/>
      <c r="G23" s="172"/>
      <c r="H23" s="172"/>
      <c r="I23" s="172"/>
      <c r="J23" s="173"/>
      <c r="K23" s="174">
        <f>SUM(H25:H39)</f>
        <v>0</v>
      </c>
    </row>
    <row r="24">
      <c r="A24" s="175" t="s">
        <v>1</v>
      </c>
      <c r="B24" s="175" t="s">
        <v>2</v>
      </c>
      <c r="C24" s="175" t="s">
        <v>3</v>
      </c>
      <c r="D24" s="175" t="s">
        <v>4</v>
      </c>
      <c r="E24" s="175" t="s">
        <v>5</v>
      </c>
      <c r="F24" s="176" t="s">
        <v>6</v>
      </c>
      <c r="G24" s="177" t="s">
        <v>7</v>
      </c>
      <c r="H24" s="178" t="s">
        <v>8</v>
      </c>
      <c r="I24" s="179" t="s">
        <v>9</v>
      </c>
      <c r="J24" s="180" t="s">
        <v>49</v>
      </c>
    </row>
    <row r="25">
      <c r="A25" s="181">
        <v>1.0</v>
      </c>
      <c r="B25" s="217"/>
      <c r="C25" s="183"/>
      <c r="D25" s="185"/>
      <c r="E25" s="185"/>
      <c r="F25" s="138"/>
      <c r="G25" s="138"/>
      <c r="H25" s="185"/>
      <c r="I25" s="188"/>
      <c r="J25" s="189"/>
    </row>
    <row r="26">
      <c r="A26" s="190">
        <v>2.0</v>
      </c>
      <c r="B26" s="188"/>
      <c r="C26" s="183"/>
      <c r="D26" s="185"/>
      <c r="E26" s="185"/>
      <c r="F26" s="138"/>
      <c r="G26" s="138"/>
      <c r="H26" s="185"/>
      <c r="I26" s="195"/>
      <c r="J26" s="189"/>
    </row>
    <row r="27">
      <c r="A27" s="190">
        <v>3.0</v>
      </c>
      <c r="B27" s="188"/>
      <c r="C27" s="183"/>
      <c r="D27" s="185"/>
      <c r="E27" s="185"/>
      <c r="F27" s="138"/>
      <c r="G27" s="138"/>
      <c r="H27" s="185"/>
      <c r="I27" s="188"/>
      <c r="J27" s="189"/>
    </row>
    <row r="28">
      <c r="A28" s="190">
        <v>4.0</v>
      </c>
      <c r="B28" s="188"/>
      <c r="C28" s="183"/>
      <c r="D28" s="185"/>
      <c r="E28" s="185"/>
      <c r="F28" s="138"/>
      <c r="G28" s="138"/>
      <c r="H28" s="185"/>
      <c r="I28" s="188"/>
      <c r="J28" s="196"/>
      <c r="K28" s="30"/>
    </row>
    <row r="29">
      <c r="A29" s="190">
        <v>5.0</v>
      </c>
      <c r="B29" s="188"/>
      <c r="C29" s="183"/>
      <c r="D29" s="185"/>
      <c r="E29" s="185"/>
      <c r="F29" s="138"/>
      <c r="G29" s="138"/>
      <c r="H29" s="185"/>
      <c r="I29" s="188"/>
      <c r="J29" s="189"/>
    </row>
    <row r="30">
      <c r="A30" s="190">
        <v>6.0</v>
      </c>
      <c r="B30" s="188"/>
      <c r="C30" s="183"/>
      <c r="D30" s="185"/>
      <c r="E30" s="185"/>
      <c r="F30" s="138"/>
      <c r="G30" s="138"/>
      <c r="H30" s="185"/>
      <c r="I30" s="188"/>
      <c r="J30" s="189"/>
    </row>
    <row r="31">
      <c r="A31" s="190">
        <v>7.0</v>
      </c>
      <c r="B31" s="188"/>
      <c r="C31" s="183"/>
      <c r="D31" s="185"/>
      <c r="E31" s="185"/>
      <c r="F31" s="138"/>
      <c r="G31" s="138"/>
      <c r="H31" s="185"/>
      <c r="I31" s="188"/>
      <c r="J31" s="189"/>
    </row>
    <row r="32">
      <c r="A32" s="190">
        <v>8.0</v>
      </c>
      <c r="B32" s="188"/>
      <c r="C32" s="183"/>
      <c r="D32" s="138"/>
      <c r="E32" s="138"/>
      <c r="F32" s="138"/>
      <c r="G32" s="138"/>
      <c r="H32" s="185"/>
      <c r="I32" s="188"/>
      <c r="J32" s="189"/>
    </row>
    <row r="33">
      <c r="A33" s="190">
        <v>9.0</v>
      </c>
      <c r="B33" s="188"/>
      <c r="C33" s="183"/>
      <c r="D33" s="185"/>
      <c r="E33" s="185"/>
      <c r="F33" s="138"/>
      <c r="G33" s="138"/>
      <c r="H33" s="185"/>
      <c r="I33" s="188"/>
      <c r="J33" s="189"/>
    </row>
    <row r="34">
      <c r="A34" s="190">
        <v>10.0</v>
      </c>
      <c r="B34" s="188"/>
      <c r="C34" s="183"/>
      <c r="D34" s="185"/>
      <c r="E34" s="185"/>
      <c r="F34" s="138"/>
      <c r="G34" s="138"/>
      <c r="H34" s="185"/>
      <c r="I34" s="188"/>
      <c r="J34" s="189"/>
    </row>
    <row r="35">
      <c r="A35" s="190">
        <v>11.0</v>
      </c>
      <c r="B35" s="188"/>
      <c r="C35" s="183"/>
      <c r="D35" s="185"/>
      <c r="E35" s="185"/>
      <c r="F35" s="138"/>
      <c r="G35" s="138"/>
      <c r="H35" s="185"/>
      <c r="I35" s="188"/>
      <c r="J35" s="189"/>
    </row>
    <row r="36">
      <c r="A36" s="190">
        <v>12.0</v>
      </c>
      <c r="B36" s="188"/>
      <c r="C36" s="183"/>
      <c r="D36" s="185"/>
      <c r="E36" s="185"/>
      <c r="F36" s="138"/>
      <c r="G36" s="138"/>
      <c r="H36" s="185"/>
      <c r="I36" s="188"/>
      <c r="J36" s="189"/>
    </row>
    <row r="37">
      <c r="A37" s="190">
        <v>13.0</v>
      </c>
      <c r="B37" s="188"/>
      <c r="C37" s="183"/>
      <c r="D37" s="138"/>
      <c r="E37" s="138"/>
      <c r="F37" s="138"/>
      <c r="G37" s="138"/>
      <c r="H37" s="186"/>
      <c r="I37" s="188"/>
      <c r="J37" s="189"/>
    </row>
    <row r="38">
      <c r="A38" s="190">
        <v>14.0</v>
      </c>
      <c r="B38" s="188"/>
      <c r="C38" s="183"/>
      <c r="D38" s="186"/>
      <c r="E38" s="186"/>
      <c r="F38" s="186"/>
      <c r="G38" s="138"/>
      <c r="H38" s="186"/>
      <c r="I38" s="188"/>
      <c r="J38" s="189"/>
    </row>
    <row r="39">
      <c r="A39" s="211">
        <v>15.0</v>
      </c>
      <c r="B39" s="218"/>
      <c r="C39" s="183"/>
      <c r="D39" s="219"/>
      <c r="E39" s="219"/>
      <c r="F39" s="219"/>
      <c r="G39" s="220"/>
      <c r="H39" s="219"/>
      <c r="I39" s="221"/>
      <c r="J39" s="222"/>
    </row>
    <row r="43">
      <c r="A43" s="223"/>
      <c r="K43" s="224"/>
    </row>
    <row r="44">
      <c r="A44" s="225"/>
      <c r="B44" s="225"/>
      <c r="C44" s="225"/>
      <c r="D44" s="225"/>
      <c r="E44" s="225"/>
      <c r="F44" s="226"/>
      <c r="G44" s="225"/>
      <c r="H44" s="225"/>
    </row>
    <row r="45">
      <c r="D45" s="227"/>
      <c r="E45" s="227"/>
      <c r="H45" s="227"/>
    </row>
    <row r="46">
      <c r="D46" s="227"/>
      <c r="E46" s="227"/>
      <c r="H46" s="227"/>
    </row>
    <row r="47">
      <c r="D47" s="227"/>
      <c r="E47" s="227"/>
      <c r="H47" s="227"/>
    </row>
    <row r="48">
      <c r="D48" s="227"/>
      <c r="E48" s="227"/>
      <c r="H48" s="227"/>
    </row>
    <row r="49">
      <c r="D49" s="227"/>
      <c r="E49" s="227"/>
      <c r="H49" s="227"/>
    </row>
    <row r="50">
      <c r="D50" s="227"/>
      <c r="E50" s="227"/>
      <c r="H50" s="227"/>
    </row>
    <row r="51">
      <c r="D51" s="227"/>
      <c r="E51" s="227"/>
      <c r="H51" s="227"/>
    </row>
    <row r="52">
      <c r="D52" s="227"/>
      <c r="E52" s="227"/>
      <c r="H52" s="227"/>
    </row>
    <row r="53">
      <c r="D53" s="227"/>
      <c r="E53" s="227"/>
      <c r="H53" s="227"/>
    </row>
    <row r="54">
      <c r="D54" s="227"/>
      <c r="E54" s="227"/>
      <c r="H54" s="227"/>
    </row>
    <row r="55">
      <c r="D55" s="227"/>
      <c r="E55" s="227"/>
      <c r="H55" s="227"/>
    </row>
    <row r="63">
      <c r="A63" s="223"/>
      <c r="K63" s="224"/>
    </row>
    <row r="64">
      <c r="A64" s="225"/>
      <c r="B64" s="225"/>
      <c r="C64" s="225"/>
      <c r="D64" s="225"/>
      <c r="E64" s="225"/>
      <c r="F64" s="226"/>
      <c r="G64" s="225"/>
      <c r="H64" s="225"/>
    </row>
    <row r="65">
      <c r="D65" s="227"/>
      <c r="E65" s="227"/>
      <c r="H65" s="227"/>
    </row>
    <row r="66">
      <c r="D66" s="227"/>
      <c r="E66" s="227"/>
      <c r="H66" s="227"/>
    </row>
    <row r="67">
      <c r="D67" s="227"/>
      <c r="E67" s="227"/>
      <c r="H67" s="227"/>
    </row>
    <row r="68">
      <c r="D68" s="227"/>
      <c r="E68" s="227"/>
      <c r="H68" s="227"/>
    </row>
    <row r="69">
      <c r="D69" s="227"/>
      <c r="E69" s="227"/>
      <c r="H69" s="227"/>
    </row>
    <row r="70">
      <c r="D70" s="227"/>
      <c r="E70" s="227"/>
      <c r="H70" s="227"/>
    </row>
    <row r="71">
      <c r="D71" s="227"/>
      <c r="E71" s="227"/>
      <c r="H71" s="227"/>
    </row>
    <row r="72">
      <c r="D72" s="227"/>
      <c r="E72" s="227"/>
      <c r="H72" s="227"/>
    </row>
    <row r="73">
      <c r="D73" s="227"/>
      <c r="E73" s="227"/>
      <c r="H73" s="227"/>
    </row>
    <row r="74">
      <c r="D74" s="227"/>
      <c r="E74" s="227"/>
      <c r="H74" s="227"/>
    </row>
    <row r="75">
      <c r="D75" s="227"/>
      <c r="E75" s="227"/>
      <c r="H75" s="227"/>
    </row>
    <row r="76">
      <c r="D76" s="227"/>
      <c r="E76" s="227"/>
      <c r="H76" s="227"/>
    </row>
    <row r="77">
      <c r="D77" s="227"/>
      <c r="E77" s="227"/>
      <c r="H77" s="227"/>
    </row>
    <row r="83">
      <c r="A83" s="223"/>
      <c r="K83" s="224"/>
    </row>
    <row r="84">
      <c r="A84" s="225"/>
      <c r="B84" s="225"/>
      <c r="C84" s="225"/>
      <c r="D84" s="225"/>
      <c r="E84" s="225"/>
      <c r="F84" s="226"/>
      <c r="G84" s="225"/>
      <c r="H84" s="225"/>
    </row>
    <row r="85">
      <c r="A85" s="30"/>
      <c r="C85" s="30"/>
      <c r="D85" s="227"/>
      <c r="E85" s="227"/>
      <c r="H85" s="227"/>
    </row>
    <row r="86">
      <c r="A86" s="30"/>
      <c r="C86" s="30"/>
      <c r="D86" s="227"/>
      <c r="E86" s="227"/>
      <c r="H86" s="227"/>
      <c r="I86" s="30"/>
    </row>
    <row r="87">
      <c r="A87" s="30"/>
      <c r="C87" s="30"/>
      <c r="D87" s="227"/>
      <c r="E87" s="227"/>
      <c r="H87" s="227"/>
    </row>
    <row r="88">
      <c r="A88" s="30"/>
      <c r="C88" s="30"/>
      <c r="D88" s="227"/>
      <c r="E88" s="227"/>
      <c r="H88" s="227"/>
      <c r="J88" s="30"/>
    </row>
    <row r="89">
      <c r="A89" s="30"/>
      <c r="C89" s="30"/>
      <c r="D89" s="227"/>
      <c r="E89" s="227"/>
      <c r="H89" s="227"/>
      <c r="I89" s="30"/>
    </row>
    <row r="90">
      <c r="A90" s="30"/>
      <c r="C90" s="30"/>
      <c r="D90" s="227"/>
      <c r="E90" s="227"/>
      <c r="H90" s="227"/>
    </row>
    <row r="91">
      <c r="A91" s="30"/>
      <c r="C91" s="30"/>
      <c r="D91" s="227"/>
      <c r="E91" s="227"/>
      <c r="H91" s="227"/>
    </row>
    <row r="92">
      <c r="A92" s="30"/>
      <c r="C92" s="30"/>
      <c r="D92" s="227"/>
      <c r="E92" s="227"/>
      <c r="H92" s="227"/>
    </row>
    <row r="93">
      <c r="A93" s="30"/>
      <c r="C93" s="30"/>
      <c r="D93" s="227"/>
      <c r="E93" s="227"/>
      <c r="H93" s="227"/>
      <c r="J93" s="30"/>
    </row>
    <row r="94">
      <c r="A94" s="30"/>
      <c r="C94" s="30"/>
      <c r="D94" s="227"/>
      <c r="E94" s="227"/>
      <c r="H94" s="227"/>
      <c r="I94" s="30"/>
    </row>
    <row r="95">
      <c r="A95" s="30"/>
      <c r="C95" s="30"/>
      <c r="D95" s="227"/>
      <c r="E95" s="227"/>
      <c r="H95" s="227"/>
    </row>
    <row r="96">
      <c r="A96" s="30"/>
      <c r="C96" s="30"/>
    </row>
    <row r="97">
      <c r="A97" s="30"/>
      <c r="C97" s="30"/>
      <c r="D97" s="30"/>
      <c r="E97" s="30"/>
      <c r="F97" s="30"/>
      <c r="H97" s="30"/>
    </row>
    <row r="98">
      <c r="A98" s="30"/>
      <c r="C98" s="30"/>
      <c r="D98" s="30"/>
      <c r="E98" s="30"/>
      <c r="F98" s="30"/>
      <c r="H98" s="30"/>
    </row>
    <row r="99">
      <c r="A99" s="30"/>
      <c r="C99" s="30"/>
      <c r="D99" s="30"/>
      <c r="E99" s="30"/>
      <c r="F99" s="30"/>
      <c r="H99" s="30"/>
    </row>
  </sheetData>
  <mergeCells count="10">
    <mergeCell ref="A63:J63"/>
    <mergeCell ref="A83:J83"/>
    <mergeCell ref="K83:K84"/>
    <mergeCell ref="A2:J2"/>
    <mergeCell ref="K2:K3"/>
    <mergeCell ref="A23:J23"/>
    <mergeCell ref="K23:K24"/>
    <mergeCell ref="A43:J43"/>
    <mergeCell ref="K43:K44"/>
    <mergeCell ref="K63:K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4.0"/>
    <col customWidth="1" min="3" max="3" width="10.5"/>
    <col customWidth="1" min="4" max="4" width="33.0"/>
    <col customWidth="1" min="5" max="5" width="20.63"/>
    <col customWidth="1" min="6" max="6" width="27.63"/>
    <col customWidth="1" min="12" max="12" width="19.13"/>
    <col customWidth="1" min="13" max="13" width="22.25"/>
    <col customWidth="1" min="15" max="15" width="15.25"/>
    <col customWidth="1" min="16" max="16" width="19.0"/>
    <col customWidth="1" min="18" max="18" width="23.25"/>
    <col customWidth="1" min="19" max="19" width="20.0"/>
  </cols>
  <sheetData>
    <row r="1">
      <c r="A1" s="30" t="s">
        <v>273</v>
      </c>
      <c r="B1" s="30"/>
      <c r="C1" s="30"/>
    </row>
    <row r="2" ht="27.0" customHeight="1">
      <c r="A2" s="228" t="s">
        <v>274</v>
      </c>
      <c r="B2" s="172"/>
      <c r="C2" s="172"/>
      <c r="D2" s="172"/>
      <c r="E2" s="172"/>
      <c r="F2" s="172"/>
      <c r="G2" s="172"/>
      <c r="H2" s="172"/>
      <c r="I2" s="172"/>
      <c r="J2" s="173"/>
      <c r="K2" s="229">
        <f>SUM(H4:H18)</f>
        <v>244000</v>
      </c>
      <c r="L2" s="230" t="s">
        <v>275</v>
      </c>
      <c r="M2" s="231"/>
    </row>
    <row r="3">
      <c r="A3" s="232" t="s">
        <v>1</v>
      </c>
      <c r="B3" s="232" t="s">
        <v>2</v>
      </c>
      <c r="C3" s="232" t="s">
        <v>3</v>
      </c>
      <c r="D3" s="232" t="s">
        <v>4</v>
      </c>
      <c r="E3" s="232" t="s">
        <v>5</v>
      </c>
      <c r="F3" s="233" t="s">
        <v>6</v>
      </c>
      <c r="G3" s="234" t="s">
        <v>7</v>
      </c>
      <c r="H3" s="235" t="s">
        <v>8</v>
      </c>
      <c r="I3" s="236" t="s">
        <v>9</v>
      </c>
      <c r="J3" s="237" t="s">
        <v>49</v>
      </c>
      <c r="L3" s="231"/>
      <c r="M3" s="231"/>
    </row>
    <row r="4">
      <c r="A4" s="238">
        <v>1.0</v>
      </c>
      <c r="B4" s="239">
        <v>46154.0</v>
      </c>
      <c r="C4" s="240">
        <v>8000.0</v>
      </c>
      <c r="D4" s="241" t="s">
        <v>276</v>
      </c>
      <c r="E4" s="242">
        <v>5.50385818E8</v>
      </c>
      <c r="F4" s="243">
        <v>5.56181872E8</v>
      </c>
      <c r="G4" s="244"/>
      <c r="H4" s="245">
        <v>24000.0</v>
      </c>
      <c r="I4" s="246"/>
      <c r="J4" s="247"/>
      <c r="K4" s="231"/>
      <c r="L4" s="248" t="s">
        <v>32</v>
      </c>
      <c r="M4" s="231"/>
      <c r="N4" s="249"/>
      <c r="O4" s="250"/>
      <c r="P4" s="250"/>
      <c r="S4" s="250"/>
      <c r="T4" s="250"/>
      <c r="U4" s="250"/>
    </row>
    <row r="5">
      <c r="A5" s="246">
        <v>2.0</v>
      </c>
      <c r="B5" s="251"/>
      <c r="C5" s="252">
        <v>8000.0</v>
      </c>
      <c r="D5" s="253" t="s">
        <v>277</v>
      </c>
      <c r="E5" s="252"/>
      <c r="F5" s="252"/>
      <c r="G5" s="254"/>
      <c r="H5" s="245">
        <v>24000.0</v>
      </c>
      <c r="I5" s="255"/>
      <c r="J5" s="247"/>
      <c r="K5" s="231"/>
      <c r="L5" s="248" t="s">
        <v>193</v>
      </c>
      <c r="M5" s="231"/>
      <c r="N5" s="249"/>
      <c r="O5" s="250"/>
      <c r="P5" s="250"/>
      <c r="S5" s="250"/>
      <c r="T5" s="250"/>
      <c r="U5" s="250"/>
    </row>
    <row r="6">
      <c r="A6" s="246">
        <v>3.0</v>
      </c>
      <c r="B6" s="256">
        <v>46165.0</v>
      </c>
      <c r="C6" s="243">
        <v>8000.0</v>
      </c>
      <c r="D6" s="257" t="s">
        <v>278</v>
      </c>
      <c r="E6" s="258">
        <v>9.99464043E8</v>
      </c>
      <c r="F6" s="258">
        <v>5.0706876E8</v>
      </c>
      <c r="G6" s="254"/>
      <c r="H6" s="245">
        <v>24000.0</v>
      </c>
      <c r="I6" s="255"/>
      <c r="J6" s="247"/>
      <c r="K6" s="231"/>
      <c r="L6" s="248" t="s">
        <v>32</v>
      </c>
      <c r="M6" s="231"/>
      <c r="N6" s="249"/>
      <c r="O6" s="250"/>
      <c r="P6" s="250"/>
      <c r="R6" s="250"/>
      <c r="S6" s="250"/>
      <c r="T6" s="250"/>
      <c r="U6" s="250"/>
    </row>
    <row r="7">
      <c r="A7" s="238">
        <v>4.0</v>
      </c>
      <c r="B7" s="251">
        <v>46167.0</v>
      </c>
      <c r="C7" s="243">
        <v>8000.0</v>
      </c>
      <c r="D7" s="257" t="s">
        <v>279</v>
      </c>
      <c r="E7" s="258">
        <v>2.20792274E8</v>
      </c>
      <c r="F7" s="258">
        <v>5.55730807E8</v>
      </c>
      <c r="G7" s="254"/>
      <c r="H7" s="245">
        <v>24000.0</v>
      </c>
      <c r="I7" s="255"/>
      <c r="J7" s="259"/>
      <c r="K7" s="240"/>
      <c r="L7" s="248" t="s">
        <v>280</v>
      </c>
      <c r="M7" s="231"/>
      <c r="N7" s="249"/>
      <c r="O7" s="250"/>
      <c r="P7" s="250"/>
      <c r="R7" s="250"/>
      <c r="S7" s="250"/>
      <c r="T7" s="250"/>
      <c r="U7" s="250"/>
    </row>
    <row r="8">
      <c r="A8" s="246">
        <v>5.0</v>
      </c>
      <c r="B8" s="260">
        <v>46167.0</v>
      </c>
      <c r="C8" s="261">
        <v>8000.0</v>
      </c>
      <c r="D8" s="262" t="s">
        <v>281</v>
      </c>
      <c r="E8" s="263">
        <v>7.04523852E8</v>
      </c>
      <c r="F8" s="263">
        <v>7.04523852E8</v>
      </c>
      <c r="G8" s="264"/>
      <c r="H8" s="265">
        <v>8000.0</v>
      </c>
      <c r="I8" s="266"/>
      <c r="J8" s="267"/>
      <c r="K8" s="268"/>
      <c r="L8" s="269" t="s">
        <v>32</v>
      </c>
      <c r="M8" s="231"/>
      <c r="N8" s="250"/>
      <c r="O8" s="250"/>
      <c r="P8" s="250"/>
      <c r="R8" s="250"/>
      <c r="S8" s="250"/>
      <c r="T8" s="250"/>
      <c r="U8" s="250"/>
    </row>
    <row r="9">
      <c r="A9" s="246">
        <v>6.0</v>
      </c>
      <c r="B9" s="256">
        <v>46167.0</v>
      </c>
      <c r="C9" s="243">
        <v>8000.0</v>
      </c>
      <c r="D9" s="241" t="s">
        <v>282</v>
      </c>
      <c r="E9" s="258">
        <v>2.22222548E8</v>
      </c>
      <c r="F9" s="258">
        <v>7.76122289E8</v>
      </c>
      <c r="G9" s="254"/>
      <c r="H9" s="245">
        <v>24000.0</v>
      </c>
      <c r="I9" s="255"/>
      <c r="J9" s="247"/>
      <c r="K9" s="231"/>
      <c r="L9" s="248" t="s">
        <v>32</v>
      </c>
      <c r="M9" s="230" t="s">
        <v>283</v>
      </c>
      <c r="N9" s="250"/>
      <c r="O9" s="250"/>
      <c r="P9" s="250"/>
      <c r="R9" s="250"/>
      <c r="S9" s="250"/>
      <c r="T9" s="250"/>
      <c r="U9" s="250"/>
    </row>
    <row r="10">
      <c r="A10" s="238">
        <v>7.0</v>
      </c>
      <c r="B10" s="256">
        <v>46170.0</v>
      </c>
      <c r="C10" s="243">
        <v>10000.0</v>
      </c>
      <c r="D10" s="257" t="s">
        <v>284</v>
      </c>
      <c r="E10" s="258">
        <v>5.57020409E8</v>
      </c>
      <c r="F10" s="258">
        <v>8.9299275977E10</v>
      </c>
      <c r="G10" s="254"/>
      <c r="H10" s="245">
        <v>10000.0</v>
      </c>
      <c r="I10" s="255"/>
      <c r="J10" s="247"/>
      <c r="K10" s="231"/>
      <c r="L10" s="248" t="s">
        <v>32</v>
      </c>
      <c r="M10" s="231"/>
      <c r="N10" s="250"/>
      <c r="O10" s="250"/>
      <c r="P10" s="250"/>
      <c r="R10" s="250"/>
      <c r="S10" s="250"/>
      <c r="T10" s="250"/>
      <c r="U10" s="250"/>
    </row>
    <row r="11">
      <c r="A11" s="246" t="s">
        <v>0</v>
      </c>
      <c r="B11" s="251">
        <v>46171.0</v>
      </c>
      <c r="C11" s="243">
        <v>24000.0</v>
      </c>
      <c r="D11" s="253" t="s">
        <v>285</v>
      </c>
      <c r="E11" s="258">
        <v>7.07822057E8</v>
      </c>
      <c r="F11" s="258">
        <v>5.53544041E8</v>
      </c>
      <c r="G11" s="254"/>
      <c r="H11" s="245">
        <v>24000.0</v>
      </c>
      <c r="I11" s="255"/>
      <c r="J11" s="247"/>
      <c r="K11" s="231"/>
      <c r="L11" s="270" t="s">
        <v>74</v>
      </c>
      <c r="M11" s="231"/>
      <c r="N11" s="271"/>
      <c r="O11" s="250"/>
      <c r="P11" s="250"/>
      <c r="R11" s="250"/>
      <c r="S11" s="250"/>
      <c r="T11" s="250"/>
      <c r="U11" s="250"/>
    </row>
    <row r="12">
      <c r="A12" s="246">
        <v>9.0</v>
      </c>
      <c r="B12" s="256">
        <v>46171.0</v>
      </c>
      <c r="C12" s="272">
        <v>10000.0</v>
      </c>
      <c r="D12" s="273" t="s">
        <v>286</v>
      </c>
      <c r="E12" s="258" t="s">
        <v>287</v>
      </c>
      <c r="F12" s="258" t="s">
        <v>288</v>
      </c>
      <c r="G12" s="254"/>
      <c r="H12" s="245">
        <v>10000.0</v>
      </c>
      <c r="I12" s="255"/>
      <c r="J12" s="247"/>
      <c r="K12" s="231"/>
      <c r="L12" s="248" t="s">
        <v>32</v>
      </c>
      <c r="M12" s="231"/>
      <c r="N12" s="271"/>
      <c r="O12" s="250"/>
      <c r="P12" s="250"/>
      <c r="R12" s="250"/>
      <c r="S12" s="250"/>
      <c r="T12" s="250"/>
      <c r="U12" s="250"/>
    </row>
    <row r="13">
      <c r="A13" s="274">
        <v>10.0</v>
      </c>
      <c r="B13" s="275">
        <v>46172.0</v>
      </c>
      <c r="C13" s="276">
        <v>10000.0</v>
      </c>
      <c r="D13" s="277" t="s">
        <v>289</v>
      </c>
      <c r="E13" s="277" t="s">
        <v>290</v>
      </c>
      <c r="F13" s="277" t="s">
        <v>291</v>
      </c>
      <c r="G13" s="278"/>
      <c r="H13" s="279">
        <v>10000.0</v>
      </c>
      <c r="I13" s="280"/>
      <c r="J13" s="281"/>
      <c r="K13" s="282"/>
      <c r="L13" s="230" t="s">
        <v>32</v>
      </c>
      <c r="M13" s="282"/>
      <c r="N13" s="283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246">
        <v>11.0</v>
      </c>
      <c r="B14" s="256">
        <v>46173.0</v>
      </c>
      <c r="C14" s="272">
        <v>9000.0</v>
      </c>
      <c r="D14" s="273" t="s">
        <v>292</v>
      </c>
      <c r="E14" s="258">
        <v>5.53102713E8</v>
      </c>
      <c r="F14" s="258">
        <v>7.78344303E8</v>
      </c>
      <c r="G14" s="254"/>
      <c r="H14" s="245">
        <v>9000.0</v>
      </c>
      <c r="I14" s="255"/>
      <c r="J14" s="247"/>
      <c r="K14" s="231"/>
      <c r="L14" s="270" t="s">
        <v>74</v>
      </c>
      <c r="M14" s="231"/>
      <c r="N14" s="271"/>
      <c r="O14" s="250"/>
      <c r="P14" s="250"/>
      <c r="R14" s="250"/>
      <c r="S14" s="250"/>
      <c r="T14" s="250"/>
      <c r="U14" s="250"/>
    </row>
    <row r="15">
      <c r="A15" s="246">
        <v>12.0</v>
      </c>
      <c r="B15" s="256">
        <v>46174.0</v>
      </c>
      <c r="C15" s="272">
        <v>9000.0</v>
      </c>
      <c r="D15" s="273" t="s">
        <v>293</v>
      </c>
      <c r="E15" s="258">
        <v>5.53102713E8</v>
      </c>
      <c r="F15" s="258">
        <v>7.78344303E8</v>
      </c>
      <c r="G15" s="254"/>
      <c r="H15" s="245">
        <v>9000.0</v>
      </c>
      <c r="I15" s="255"/>
      <c r="J15" s="247"/>
      <c r="K15" s="231"/>
      <c r="L15" s="270" t="s">
        <v>74</v>
      </c>
      <c r="M15" s="231"/>
      <c r="N15" s="250"/>
      <c r="O15" s="250"/>
      <c r="P15" s="250"/>
      <c r="R15" s="250"/>
      <c r="S15" s="250"/>
      <c r="T15" s="250"/>
      <c r="U15" s="250"/>
    </row>
    <row r="16">
      <c r="A16" s="284">
        <v>13.0</v>
      </c>
      <c r="B16" s="285">
        <v>46173.0</v>
      </c>
      <c r="C16" s="286">
        <v>10000.0</v>
      </c>
      <c r="D16" s="287" t="s">
        <v>294</v>
      </c>
      <c r="E16" s="287" t="s">
        <v>291</v>
      </c>
      <c r="F16" s="287" t="s">
        <v>291</v>
      </c>
      <c r="G16" s="288"/>
      <c r="H16" s="289">
        <v>10000.0</v>
      </c>
      <c r="I16" s="290"/>
      <c r="J16" s="291"/>
      <c r="K16" s="292"/>
      <c r="L16" s="293" t="s">
        <v>32</v>
      </c>
      <c r="M16" s="292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</row>
    <row r="17">
      <c r="A17" s="246">
        <v>14.0</v>
      </c>
      <c r="B17" s="256">
        <v>46143.0</v>
      </c>
      <c r="C17" s="272">
        <v>8000.0</v>
      </c>
      <c r="D17" s="273" t="s">
        <v>295</v>
      </c>
      <c r="E17" s="258" t="s">
        <v>296</v>
      </c>
      <c r="F17" s="258" t="s">
        <v>297</v>
      </c>
      <c r="G17" s="254"/>
      <c r="H17" s="245">
        <v>24000.0</v>
      </c>
      <c r="I17" s="255"/>
      <c r="J17" s="247"/>
      <c r="K17" s="231"/>
      <c r="L17" s="248" t="s">
        <v>32</v>
      </c>
      <c r="M17" s="231"/>
      <c r="N17" s="250"/>
      <c r="O17" s="250"/>
      <c r="P17" s="250"/>
      <c r="Q17" s="250"/>
      <c r="R17" s="250"/>
      <c r="S17" s="250"/>
      <c r="T17" s="250"/>
      <c r="U17" s="250"/>
    </row>
    <row r="18">
      <c r="A18" s="246">
        <v>15.0</v>
      </c>
      <c r="B18" s="256">
        <v>46143.0</v>
      </c>
      <c r="C18" s="295">
        <v>10000.0</v>
      </c>
      <c r="D18" s="296" t="s">
        <v>298</v>
      </c>
      <c r="E18" s="297" t="s">
        <v>299</v>
      </c>
      <c r="F18" s="297" t="s">
        <v>300</v>
      </c>
      <c r="G18" s="298"/>
      <c r="H18" s="245">
        <v>10000.0</v>
      </c>
      <c r="I18" s="299"/>
      <c r="J18" s="300"/>
      <c r="K18" s="231"/>
      <c r="L18" s="248" t="s">
        <v>280</v>
      </c>
      <c r="M18" s="231"/>
      <c r="N18" s="250"/>
      <c r="O18" s="250"/>
      <c r="P18" s="250"/>
      <c r="Q18" s="250"/>
      <c r="R18" s="250"/>
      <c r="S18" s="250"/>
      <c r="T18" s="250"/>
      <c r="U18" s="250"/>
    </row>
    <row r="19">
      <c r="L19" s="204"/>
      <c r="N19" s="250"/>
      <c r="O19" s="250"/>
      <c r="P19" s="250"/>
      <c r="Q19" s="250"/>
      <c r="R19" s="250"/>
      <c r="S19" s="250"/>
      <c r="T19" s="250"/>
      <c r="U19" s="250"/>
    </row>
    <row r="20">
      <c r="D20" s="30" t="s">
        <v>301</v>
      </c>
      <c r="L20" s="204"/>
      <c r="N20" s="250"/>
      <c r="O20" s="250"/>
      <c r="P20" s="250"/>
      <c r="Q20" s="250"/>
      <c r="R20" s="250"/>
      <c r="S20" s="250"/>
      <c r="T20" s="250"/>
      <c r="U20" s="250"/>
    </row>
    <row r="21">
      <c r="L21" s="204"/>
      <c r="N21" s="250"/>
      <c r="O21" s="250"/>
      <c r="P21" s="250"/>
      <c r="Q21" s="250"/>
      <c r="R21" s="250"/>
      <c r="S21" s="250"/>
      <c r="T21" s="250"/>
      <c r="U21" s="250"/>
    </row>
    <row r="22">
      <c r="A22" s="228" t="s">
        <v>302</v>
      </c>
      <c r="B22" s="172"/>
      <c r="C22" s="172"/>
      <c r="D22" s="172"/>
      <c r="E22" s="172"/>
      <c r="F22" s="172"/>
      <c r="G22" s="172"/>
      <c r="H22" s="172"/>
      <c r="I22" s="172"/>
      <c r="J22" s="173"/>
      <c r="K22" s="229">
        <f>SUM(H24:H36)</f>
        <v>180000</v>
      </c>
      <c r="L22" s="230" t="s">
        <v>275</v>
      </c>
      <c r="N22" s="250"/>
      <c r="O22" s="301"/>
      <c r="P22" s="250"/>
      <c r="Q22" s="250"/>
      <c r="R22" s="250"/>
      <c r="S22" s="250"/>
      <c r="T22" s="250"/>
      <c r="U22" s="250"/>
    </row>
    <row r="23">
      <c r="A23" s="232" t="s">
        <v>1</v>
      </c>
      <c r="B23" s="232" t="s">
        <v>2</v>
      </c>
      <c r="C23" s="232" t="s">
        <v>3</v>
      </c>
      <c r="D23" s="232" t="s">
        <v>4</v>
      </c>
      <c r="E23" s="232" t="s">
        <v>5</v>
      </c>
      <c r="F23" s="233" t="s">
        <v>6</v>
      </c>
      <c r="G23" s="234" t="s">
        <v>7</v>
      </c>
      <c r="H23" s="235" t="s">
        <v>8</v>
      </c>
      <c r="I23" s="236" t="s">
        <v>9</v>
      </c>
      <c r="J23" s="237" t="s">
        <v>49</v>
      </c>
      <c r="N23" s="250"/>
      <c r="O23" s="301"/>
      <c r="P23" s="250"/>
      <c r="Q23" s="250"/>
      <c r="R23" s="250"/>
      <c r="S23" s="250"/>
      <c r="T23" s="250"/>
      <c r="U23" s="250"/>
    </row>
    <row r="24">
      <c r="A24" s="238">
        <v>1.0</v>
      </c>
      <c r="B24" s="239">
        <v>46154.0</v>
      </c>
      <c r="C24" s="243">
        <v>8000.0</v>
      </c>
      <c r="D24" s="257" t="s">
        <v>303</v>
      </c>
      <c r="E24" s="242">
        <v>5.51066906E8</v>
      </c>
      <c r="F24" s="242" t="s">
        <v>304</v>
      </c>
      <c r="G24" s="302"/>
      <c r="H24" s="245">
        <v>24000.0</v>
      </c>
      <c r="I24" s="255"/>
      <c r="J24" s="247"/>
      <c r="K24" s="231"/>
      <c r="L24" s="303" t="s">
        <v>32</v>
      </c>
      <c r="N24" s="250"/>
      <c r="O24" s="301"/>
      <c r="P24" s="250"/>
      <c r="Q24" s="250"/>
      <c r="R24" s="250"/>
      <c r="S24" s="250"/>
      <c r="T24" s="250"/>
      <c r="U24" s="250"/>
    </row>
    <row r="25">
      <c r="A25" s="246">
        <v>2.0</v>
      </c>
      <c r="B25" s="256">
        <v>46157.0</v>
      </c>
      <c r="C25" s="243">
        <v>8000.0</v>
      </c>
      <c r="D25" s="257" t="s">
        <v>305</v>
      </c>
      <c r="E25" s="258" t="s">
        <v>306</v>
      </c>
      <c r="F25" s="258" t="s">
        <v>307</v>
      </c>
      <c r="G25" s="304" t="s">
        <v>308</v>
      </c>
      <c r="H25" s="245">
        <v>24000.0</v>
      </c>
      <c r="I25" s="255"/>
      <c r="J25" s="247"/>
      <c r="K25" s="231"/>
      <c r="L25" s="303" t="s">
        <v>32</v>
      </c>
      <c r="N25" s="250"/>
      <c r="O25" s="301"/>
      <c r="P25" s="250"/>
      <c r="Q25" s="250"/>
      <c r="R25" s="250"/>
      <c r="S25" s="250"/>
      <c r="T25" s="250"/>
      <c r="U25" s="250"/>
    </row>
    <row r="26">
      <c r="A26" s="238">
        <v>3.0</v>
      </c>
      <c r="B26" s="256">
        <v>46175.0</v>
      </c>
      <c r="C26" s="243">
        <v>8000.0</v>
      </c>
      <c r="D26" s="257" t="s">
        <v>309</v>
      </c>
      <c r="E26" s="258">
        <v>5.56888302E8</v>
      </c>
      <c r="F26" s="305"/>
      <c r="G26" s="254"/>
      <c r="H26" s="245">
        <v>24000.0</v>
      </c>
      <c r="I26" s="246"/>
      <c r="J26" s="247"/>
      <c r="K26" s="231"/>
      <c r="L26" s="248" t="s">
        <v>20</v>
      </c>
    </row>
    <row r="27">
      <c r="A27" s="246">
        <v>4.0</v>
      </c>
      <c r="B27" s="251">
        <v>46163.0</v>
      </c>
      <c r="C27" s="243">
        <v>10000.0</v>
      </c>
      <c r="D27" s="273" t="s">
        <v>310</v>
      </c>
      <c r="E27" s="258" t="s">
        <v>311</v>
      </c>
      <c r="F27" s="258" t="s">
        <v>312</v>
      </c>
      <c r="G27" s="305"/>
      <c r="H27" s="306">
        <v>10000.0</v>
      </c>
      <c r="I27" s="307"/>
      <c r="J27" s="259"/>
      <c r="K27" s="240"/>
      <c r="L27" s="248" t="s">
        <v>20</v>
      </c>
    </row>
    <row r="28">
      <c r="A28" s="238">
        <v>5.0</v>
      </c>
      <c r="B28" s="256">
        <v>46172.0</v>
      </c>
      <c r="C28" s="243">
        <v>10000.0</v>
      </c>
      <c r="D28" s="308" t="s">
        <v>313</v>
      </c>
      <c r="E28" s="258" t="s">
        <v>314</v>
      </c>
      <c r="F28" s="258" t="s">
        <v>314</v>
      </c>
      <c r="G28" s="254"/>
      <c r="H28" s="245">
        <v>10000.0</v>
      </c>
      <c r="I28" s="255"/>
      <c r="J28" s="247"/>
      <c r="K28" s="231"/>
      <c r="L28" s="309" t="s">
        <v>32</v>
      </c>
    </row>
    <row r="29">
      <c r="A29" s="246">
        <v>6.0</v>
      </c>
      <c r="B29" s="256">
        <v>46172.0</v>
      </c>
      <c r="C29" s="243">
        <v>10000.0</v>
      </c>
      <c r="D29" s="308" t="s">
        <v>315</v>
      </c>
      <c r="E29" s="258" t="s">
        <v>314</v>
      </c>
      <c r="F29" s="258" t="s">
        <v>314</v>
      </c>
      <c r="G29" s="254"/>
      <c r="H29" s="245">
        <v>10000.0</v>
      </c>
      <c r="I29" s="255"/>
      <c r="J29" s="247"/>
      <c r="K29" s="231"/>
      <c r="L29" s="303" t="s">
        <v>32</v>
      </c>
    </row>
    <row r="30">
      <c r="A30" s="238">
        <v>7.0</v>
      </c>
      <c r="B30" s="256">
        <v>46172.0</v>
      </c>
      <c r="C30" s="243">
        <v>8000.0</v>
      </c>
      <c r="D30" s="308" t="s">
        <v>316</v>
      </c>
      <c r="E30" s="258">
        <v>7.79241111E8</v>
      </c>
      <c r="F30" s="258">
        <v>7.79241111E8</v>
      </c>
      <c r="G30" s="254"/>
      <c r="H30" s="245">
        <v>24000.0</v>
      </c>
      <c r="I30" s="255"/>
      <c r="J30" s="247"/>
      <c r="K30" s="231"/>
      <c r="L30" s="303" t="s">
        <v>32</v>
      </c>
    </row>
    <row r="31">
      <c r="A31" s="246">
        <v>8.0</v>
      </c>
      <c r="B31" s="256">
        <v>46173.0</v>
      </c>
      <c r="C31" s="243">
        <v>8000.0</v>
      </c>
      <c r="D31" s="308" t="s">
        <v>317</v>
      </c>
      <c r="E31" s="258" t="s">
        <v>318</v>
      </c>
      <c r="F31" s="258" t="s">
        <v>319</v>
      </c>
      <c r="G31" s="254"/>
      <c r="H31" s="245">
        <v>24000.0</v>
      </c>
      <c r="I31" s="255"/>
      <c r="J31" s="247"/>
      <c r="K31" s="231"/>
      <c r="L31" s="303" t="s">
        <v>32</v>
      </c>
    </row>
    <row r="32">
      <c r="A32" s="238">
        <v>9.0</v>
      </c>
      <c r="B32" s="256">
        <v>46173.0</v>
      </c>
      <c r="C32" s="243">
        <v>10000.0</v>
      </c>
      <c r="D32" s="308" t="s">
        <v>320</v>
      </c>
      <c r="E32" s="258" t="s">
        <v>321</v>
      </c>
      <c r="F32" s="258" t="s">
        <v>322</v>
      </c>
      <c r="G32" s="254"/>
      <c r="H32" s="245">
        <v>10000.0</v>
      </c>
      <c r="I32" s="255"/>
      <c r="J32" s="247"/>
      <c r="K32" s="231"/>
      <c r="L32" s="249"/>
    </row>
    <row r="33">
      <c r="A33" s="246">
        <v>10.0</v>
      </c>
      <c r="B33" s="251">
        <v>46163.0</v>
      </c>
      <c r="C33" s="252">
        <v>10000.0</v>
      </c>
      <c r="D33" s="253" t="s">
        <v>323</v>
      </c>
      <c r="E33" s="252">
        <v>2.26333506E8</v>
      </c>
      <c r="F33" s="252" t="s">
        <v>324</v>
      </c>
      <c r="G33" s="254"/>
      <c r="H33" s="245">
        <v>10000.0</v>
      </c>
      <c r="I33" s="255"/>
      <c r="J33" s="247"/>
      <c r="K33" s="310"/>
      <c r="L33" s="311" t="s">
        <v>74</v>
      </c>
    </row>
    <row r="34">
      <c r="A34" s="238">
        <v>11.0</v>
      </c>
      <c r="B34" s="312"/>
      <c r="C34" s="313" t="s">
        <v>77</v>
      </c>
      <c r="D34" s="277" t="s">
        <v>325</v>
      </c>
      <c r="E34" s="314"/>
      <c r="F34" s="314"/>
      <c r="G34" s="278"/>
      <c r="H34" s="279"/>
      <c r="I34" s="280"/>
      <c r="J34" s="281"/>
      <c r="K34" s="230" t="s">
        <v>257</v>
      </c>
      <c r="L34" s="315" t="s">
        <v>326</v>
      </c>
    </row>
    <row r="35">
      <c r="A35" s="246">
        <v>12.0</v>
      </c>
      <c r="B35" s="316"/>
      <c r="C35" s="276" t="s">
        <v>77</v>
      </c>
      <c r="D35" s="277" t="s">
        <v>327</v>
      </c>
      <c r="E35" s="314"/>
      <c r="F35" s="314"/>
      <c r="G35" s="278"/>
      <c r="H35" s="279"/>
      <c r="I35" s="280"/>
      <c r="J35" s="281"/>
      <c r="K35" s="230" t="s">
        <v>328</v>
      </c>
      <c r="L35" s="315" t="s">
        <v>326</v>
      </c>
    </row>
    <row r="36">
      <c r="A36" s="238">
        <v>13.0</v>
      </c>
      <c r="B36" s="317">
        <v>46174.0</v>
      </c>
      <c r="C36" s="318">
        <v>10000.0</v>
      </c>
      <c r="D36" s="319" t="s">
        <v>329</v>
      </c>
      <c r="E36" s="320">
        <v>2.20425328E8</v>
      </c>
      <c r="F36" s="321">
        <f>4915228199202</f>
        <v>4915228199202</v>
      </c>
      <c r="G36" s="322"/>
      <c r="H36" s="245">
        <v>10000.0</v>
      </c>
      <c r="I36" s="323"/>
      <c r="J36" s="324"/>
      <c r="K36" s="231"/>
      <c r="L36" s="311" t="s">
        <v>74</v>
      </c>
    </row>
    <row r="37">
      <c r="A37" s="246">
        <v>14.0</v>
      </c>
      <c r="B37" s="325">
        <v>46175.0</v>
      </c>
      <c r="C37" s="326">
        <v>8000.0</v>
      </c>
      <c r="D37" s="326" t="s">
        <v>330</v>
      </c>
      <c r="E37" s="326" t="s">
        <v>331</v>
      </c>
      <c r="F37" s="326" t="s">
        <v>332</v>
      </c>
      <c r="G37" s="327"/>
      <c r="H37" s="326">
        <v>24000.0</v>
      </c>
      <c r="I37" s="327"/>
      <c r="J37" s="327"/>
      <c r="K37" s="315" t="s">
        <v>20</v>
      </c>
      <c r="L37" s="328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238">
        <v>15.0</v>
      </c>
      <c r="B38" s="329">
        <v>46144.0</v>
      </c>
      <c r="C38" s="200">
        <v>10000.0</v>
      </c>
      <c r="D38" s="330" t="s">
        <v>333</v>
      </c>
      <c r="E38" s="200">
        <v>5.53899292E8</v>
      </c>
      <c r="F38" s="200">
        <v>5.53899292E8</v>
      </c>
      <c r="G38" s="206"/>
      <c r="H38" s="200">
        <v>24000.0</v>
      </c>
      <c r="I38" s="206"/>
      <c r="J38" s="206"/>
      <c r="K38" s="204"/>
      <c r="L38" s="303" t="s">
        <v>32</v>
      </c>
      <c r="M38" s="30"/>
    </row>
    <row r="39">
      <c r="A39" s="200">
        <v>16.0</v>
      </c>
      <c r="B39" s="206"/>
      <c r="C39" s="206"/>
      <c r="D39" s="138"/>
      <c r="E39" s="206"/>
      <c r="F39" s="206"/>
      <c r="G39" s="206"/>
      <c r="H39" s="206"/>
      <c r="I39" s="206"/>
      <c r="J39" s="206"/>
      <c r="K39" s="204"/>
      <c r="L39" s="204"/>
    </row>
    <row r="41">
      <c r="D41" s="331" t="s">
        <v>0</v>
      </c>
    </row>
    <row r="45">
      <c r="A45" s="138"/>
      <c r="B45" s="332" t="s">
        <v>334</v>
      </c>
      <c r="C45" s="172"/>
      <c r="D45" s="172"/>
      <c r="E45" s="172"/>
      <c r="F45" s="172"/>
      <c r="G45" s="172"/>
      <c r="H45" s="172"/>
      <c r="I45" s="172"/>
      <c r="J45" s="172"/>
      <c r="K45" s="173"/>
    </row>
    <row r="46">
      <c r="A46" s="200" t="s">
        <v>335</v>
      </c>
      <c r="B46" s="232" t="s">
        <v>2</v>
      </c>
      <c r="C46" s="232" t="s">
        <v>3</v>
      </c>
      <c r="D46" s="232" t="s">
        <v>4</v>
      </c>
      <c r="E46" s="232" t="s">
        <v>5</v>
      </c>
      <c r="F46" s="233" t="s">
        <v>6</v>
      </c>
      <c r="G46" s="234" t="s">
        <v>7</v>
      </c>
      <c r="H46" s="235" t="s">
        <v>8</v>
      </c>
      <c r="I46" s="235"/>
      <c r="J46" s="236" t="s">
        <v>9</v>
      </c>
      <c r="K46" s="237" t="s">
        <v>49</v>
      </c>
      <c r="L46" s="204"/>
      <c r="M46" s="204"/>
    </row>
    <row r="47">
      <c r="A47" s="258">
        <v>1.0</v>
      </c>
      <c r="B47" s="333">
        <v>46185.0</v>
      </c>
      <c r="C47" s="243">
        <v>10000.0</v>
      </c>
      <c r="D47" s="257" t="s">
        <v>336</v>
      </c>
      <c r="E47" s="242" t="s">
        <v>337</v>
      </c>
      <c r="F47" s="242" t="s">
        <v>338</v>
      </c>
      <c r="G47" s="242" t="s">
        <v>339</v>
      </c>
      <c r="H47" s="244">
        <v>10000.0</v>
      </c>
      <c r="I47" s="245"/>
      <c r="J47" s="255"/>
      <c r="K47" s="247"/>
      <c r="L47" s="240" t="s">
        <v>20</v>
      </c>
      <c r="M47" s="231"/>
    </row>
    <row r="48">
      <c r="A48" s="258">
        <v>2.0</v>
      </c>
      <c r="B48" s="251">
        <v>46188.0</v>
      </c>
      <c r="C48" s="272">
        <v>10000.0</v>
      </c>
      <c r="D48" s="253" t="s">
        <v>340</v>
      </c>
      <c r="E48" s="258" t="s">
        <v>341</v>
      </c>
      <c r="F48" s="258" t="s">
        <v>342</v>
      </c>
      <c r="G48" s="258"/>
      <c r="H48" s="304">
        <v>5000.0</v>
      </c>
      <c r="I48" s="245"/>
      <c r="J48" s="255"/>
      <c r="K48" s="247"/>
      <c r="L48" s="240" t="s">
        <v>20</v>
      </c>
      <c r="M48" s="231"/>
    </row>
    <row r="49">
      <c r="A49" s="258">
        <v>3.0</v>
      </c>
      <c r="B49" s="251">
        <v>46186.0</v>
      </c>
      <c r="C49" s="272">
        <v>10000.0</v>
      </c>
      <c r="D49" s="257" t="s">
        <v>343</v>
      </c>
      <c r="E49" s="258" t="s">
        <v>344</v>
      </c>
      <c r="F49" s="258" t="s">
        <v>345</v>
      </c>
      <c r="G49" s="258" t="s">
        <v>339</v>
      </c>
      <c r="H49" s="304">
        <v>10000.0</v>
      </c>
      <c r="I49" s="245"/>
      <c r="J49" s="246"/>
      <c r="K49" s="247"/>
      <c r="L49" s="248" t="s">
        <v>20</v>
      </c>
      <c r="M49" s="231"/>
    </row>
    <row r="50">
      <c r="A50" s="258">
        <v>4.0</v>
      </c>
      <c r="B50" s="334">
        <v>46200.0</v>
      </c>
      <c r="C50" s="248">
        <v>18000.0</v>
      </c>
      <c r="D50" s="273" t="s">
        <v>346</v>
      </c>
      <c r="E50" s="335">
        <v>9.96777170115E11</v>
      </c>
      <c r="F50" s="335">
        <v>9.9677363145E11</v>
      </c>
      <c r="G50" s="336" t="s">
        <v>347</v>
      </c>
      <c r="H50" s="337">
        <v>18000.0</v>
      </c>
      <c r="I50" s="337"/>
      <c r="J50" s="338"/>
      <c r="K50" s="339"/>
      <c r="L50" s="248" t="s">
        <v>246</v>
      </c>
      <c r="M50" s="248" t="s">
        <v>348</v>
      </c>
      <c r="N50" s="250"/>
      <c r="O50" s="250"/>
      <c r="P50" s="250"/>
      <c r="Q50" s="301" t="s">
        <v>349</v>
      </c>
      <c r="R50" s="250"/>
      <c r="S50" s="250"/>
      <c r="T50" s="250"/>
      <c r="U50" s="250"/>
      <c r="V50" s="250"/>
      <c r="W50" s="250"/>
      <c r="X50" s="250"/>
      <c r="Y50" s="250"/>
      <c r="Z50" s="250"/>
      <c r="AA50" s="250"/>
    </row>
    <row r="51">
      <c r="A51" s="258">
        <v>5.0</v>
      </c>
      <c r="B51" s="251">
        <v>46181.0</v>
      </c>
      <c r="C51" s="272">
        <v>20000.0</v>
      </c>
      <c r="D51" s="340" t="s">
        <v>350</v>
      </c>
      <c r="E51" s="341">
        <v>7.08220509E8</v>
      </c>
      <c r="F51" s="258" t="s">
        <v>351</v>
      </c>
      <c r="G51" s="258" t="s">
        <v>352</v>
      </c>
      <c r="H51" s="304">
        <v>20000.0</v>
      </c>
      <c r="I51" s="245"/>
      <c r="J51" s="255"/>
      <c r="K51" s="247"/>
      <c r="L51" s="240" t="s">
        <v>20</v>
      </c>
      <c r="M51" s="231"/>
    </row>
    <row r="52">
      <c r="A52" s="258">
        <v>6.0</v>
      </c>
      <c r="B52" s="333">
        <v>46181.0</v>
      </c>
      <c r="C52" s="272">
        <v>20000.0</v>
      </c>
      <c r="D52" s="340" t="s">
        <v>353</v>
      </c>
      <c r="E52" s="341">
        <v>5.02740734E8</v>
      </c>
      <c r="F52" s="258" t="s">
        <v>354</v>
      </c>
      <c r="G52" s="258" t="s">
        <v>355</v>
      </c>
      <c r="H52" s="304">
        <v>20000.0</v>
      </c>
      <c r="I52" s="245"/>
      <c r="J52" s="255"/>
      <c r="K52" s="247"/>
      <c r="L52" s="240" t="s">
        <v>20</v>
      </c>
      <c r="M52" s="231"/>
    </row>
    <row r="53">
      <c r="A53" s="258">
        <v>7.0</v>
      </c>
      <c r="B53" s="333">
        <v>46182.0</v>
      </c>
      <c r="C53" s="272">
        <v>10000.0</v>
      </c>
      <c r="D53" s="273" t="s">
        <v>356</v>
      </c>
      <c r="E53" s="240">
        <v>5.02565988E8</v>
      </c>
      <c r="F53" s="342">
        <v>5.02565988E8</v>
      </c>
      <c r="G53" s="305"/>
      <c r="H53" s="258">
        <v>10000.0</v>
      </c>
      <c r="I53" s="305"/>
      <c r="J53" s="307"/>
      <c r="K53" s="247"/>
      <c r="L53" s="240" t="s">
        <v>32</v>
      </c>
      <c r="M53" s="231"/>
    </row>
    <row r="54">
      <c r="A54" s="258">
        <v>8.0</v>
      </c>
      <c r="B54" s="251">
        <v>46185.0</v>
      </c>
      <c r="C54" s="272">
        <v>10000.0</v>
      </c>
      <c r="D54" s="273" t="s">
        <v>357</v>
      </c>
      <c r="E54" s="341" t="s">
        <v>358</v>
      </c>
      <c r="F54" s="258" t="s">
        <v>359</v>
      </c>
      <c r="G54" s="258">
        <v>15.0</v>
      </c>
      <c r="H54" s="304">
        <v>10000.0</v>
      </c>
      <c r="I54" s="245"/>
      <c r="J54" s="255"/>
      <c r="K54" s="247"/>
      <c r="L54" s="240" t="s">
        <v>20</v>
      </c>
      <c r="M54" s="231"/>
    </row>
    <row r="55">
      <c r="A55" s="258">
        <v>9.0</v>
      </c>
      <c r="B55" s="333">
        <v>46186.0</v>
      </c>
      <c r="C55" s="272">
        <v>10000.0</v>
      </c>
      <c r="D55" s="253" t="s">
        <v>360</v>
      </c>
      <c r="E55" s="343">
        <v>7.9529358791E10</v>
      </c>
      <c r="F55" s="252">
        <v>7.9771244106E10</v>
      </c>
      <c r="G55" s="252"/>
      <c r="H55" s="304">
        <v>10000.0</v>
      </c>
      <c r="I55" s="245"/>
      <c r="J55" s="255"/>
      <c r="K55" s="247"/>
      <c r="L55" s="344" t="s">
        <v>74</v>
      </c>
      <c r="M55" s="231"/>
    </row>
    <row r="56">
      <c r="A56" s="258">
        <v>10.0</v>
      </c>
      <c r="B56" s="251">
        <v>46186.0</v>
      </c>
      <c r="C56" s="272">
        <v>10000.0</v>
      </c>
      <c r="D56" s="340" t="s">
        <v>361</v>
      </c>
      <c r="E56" s="258" t="s">
        <v>362</v>
      </c>
      <c r="F56" s="258" t="s">
        <v>363</v>
      </c>
      <c r="G56" s="258">
        <v>19.0</v>
      </c>
      <c r="H56" s="304">
        <v>10000.0</v>
      </c>
      <c r="I56" s="245"/>
      <c r="J56" s="255"/>
      <c r="K56" s="247"/>
      <c r="L56" s="240" t="s">
        <v>20</v>
      </c>
      <c r="M56" s="231"/>
    </row>
    <row r="57">
      <c r="A57" s="258">
        <v>11.0</v>
      </c>
      <c r="B57" s="256">
        <v>46186.0</v>
      </c>
      <c r="C57" s="272">
        <v>10000.0</v>
      </c>
      <c r="D57" s="345" t="s">
        <v>364</v>
      </c>
      <c r="E57" s="258" t="s">
        <v>365</v>
      </c>
      <c r="F57" s="258" t="s">
        <v>366</v>
      </c>
      <c r="G57" s="305"/>
      <c r="H57" s="304">
        <v>10000.0</v>
      </c>
      <c r="I57" s="245"/>
      <c r="J57" s="255"/>
      <c r="K57" s="247"/>
      <c r="L57" s="240" t="s">
        <v>20</v>
      </c>
      <c r="M57" s="231"/>
    </row>
    <row r="58">
      <c r="A58" s="258">
        <v>12.0</v>
      </c>
      <c r="B58" s="333">
        <v>46188.0</v>
      </c>
      <c r="C58" s="318">
        <v>10000.0</v>
      </c>
      <c r="D58" s="346" t="s">
        <v>367</v>
      </c>
      <c r="E58" s="347" t="s">
        <v>368</v>
      </c>
      <c r="F58" s="320" t="s">
        <v>369</v>
      </c>
      <c r="G58" s="321"/>
      <c r="H58" s="348">
        <v>10000.0</v>
      </c>
      <c r="I58" s="245"/>
      <c r="J58" s="323"/>
      <c r="K58" s="324"/>
      <c r="L58" s="240" t="s">
        <v>246</v>
      </c>
      <c r="M58" s="231"/>
    </row>
    <row r="59">
      <c r="A59" s="258">
        <v>13.0</v>
      </c>
      <c r="B59" s="333">
        <v>46188.0</v>
      </c>
      <c r="C59" s="258">
        <v>20000.0</v>
      </c>
      <c r="D59" s="273" t="s">
        <v>370</v>
      </c>
      <c r="E59" s="336">
        <v>9.96502802267E11</v>
      </c>
      <c r="F59" s="258" t="s">
        <v>371</v>
      </c>
      <c r="G59" s="258"/>
      <c r="H59" s="258">
        <v>20000.0</v>
      </c>
      <c r="I59" s="258"/>
      <c r="J59" s="305"/>
      <c r="K59" s="305"/>
      <c r="L59" s="240" t="s">
        <v>246</v>
      </c>
      <c r="M59" s="231"/>
    </row>
    <row r="60">
      <c r="A60" s="258">
        <v>14.0</v>
      </c>
      <c r="B60" s="349">
        <v>46189.0</v>
      </c>
      <c r="C60" s="258">
        <v>10000.0</v>
      </c>
      <c r="D60" s="253" t="s">
        <v>372</v>
      </c>
      <c r="E60" s="343" t="s">
        <v>373</v>
      </c>
      <c r="F60" s="258" t="s">
        <v>374</v>
      </c>
      <c r="G60" s="305"/>
      <c r="H60" s="258">
        <v>10000.0</v>
      </c>
      <c r="I60" s="305"/>
      <c r="J60" s="305"/>
      <c r="K60" s="305"/>
      <c r="L60" s="240" t="s">
        <v>20</v>
      </c>
      <c r="M60" s="231"/>
    </row>
    <row r="61">
      <c r="A61" s="258">
        <v>15.0</v>
      </c>
      <c r="B61" s="349">
        <v>46190.0</v>
      </c>
      <c r="C61" s="258">
        <v>10000.0</v>
      </c>
      <c r="D61" s="273" t="s">
        <v>375</v>
      </c>
      <c r="E61" s="258" t="s">
        <v>376</v>
      </c>
      <c r="F61" s="258" t="s">
        <v>377</v>
      </c>
      <c r="G61" s="305"/>
      <c r="H61" s="258">
        <v>10000.0</v>
      </c>
      <c r="I61" s="305"/>
      <c r="J61" s="305"/>
      <c r="K61" s="305"/>
      <c r="L61" s="240" t="s">
        <v>32</v>
      </c>
      <c r="M61" s="231"/>
    </row>
    <row r="64">
      <c r="A64" s="30" t="s">
        <v>378</v>
      </c>
    </row>
    <row r="65">
      <c r="A65" s="350" t="s">
        <v>379</v>
      </c>
      <c r="B65" s="47"/>
      <c r="C65" s="47"/>
      <c r="D65" s="47"/>
      <c r="E65" s="47"/>
      <c r="F65" s="47"/>
      <c r="G65" s="47"/>
      <c r="H65" s="47"/>
      <c r="I65" s="47"/>
      <c r="J65" s="48"/>
      <c r="K65" s="351">
        <f>SUM(H67:H81)</f>
        <v>153000</v>
      </c>
      <c r="L65" s="138"/>
    </row>
    <row r="66">
      <c r="A66" s="352" t="s">
        <v>1</v>
      </c>
      <c r="B66" s="352" t="s">
        <v>2</v>
      </c>
      <c r="C66" s="352" t="s">
        <v>3</v>
      </c>
      <c r="D66" s="352" t="s">
        <v>4</v>
      </c>
      <c r="E66" s="352" t="s">
        <v>5</v>
      </c>
      <c r="F66" s="353" t="s">
        <v>6</v>
      </c>
      <c r="G66" s="352" t="s">
        <v>7</v>
      </c>
      <c r="H66" s="354" t="s">
        <v>8</v>
      </c>
      <c r="I66" s="355" t="s">
        <v>9</v>
      </c>
      <c r="J66" s="355" t="s">
        <v>49</v>
      </c>
      <c r="K66" s="356"/>
      <c r="L66" s="138"/>
    </row>
    <row r="67">
      <c r="A67" s="258">
        <v>1.0</v>
      </c>
      <c r="B67" s="357">
        <v>46191.0</v>
      </c>
      <c r="C67" s="258">
        <v>18000.0</v>
      </c>
      <c r="D67" s="358" t="s">
        <v>380</v>
      </c>
      <c r="E67" s="359" t="s">
        <v>381</v>
      </c>
      <c r="F67" s="258" t="s">
        <v>382</v>
      </c>
      <c r="G67" s="258"/>
      <c r="H67" s="258">
        <v>18000.0</v>
      </c>
      <c r="I67" s="258"/>
      <c r="J67" s="305"/>
      <c r="K67" s="258" t="s">
        <v>20</v>
      </c>
      <c r="L67" s="336"/>
    </row>
    <row r="68">
      <c r="A68" s="258">
        <v>2.0</v>
      </c>
      <c r="B68" s="349">
        <v>46195.0</v>
      </c>
      <c r="C68" s="252">
        <v>9000.0</v>
      </c>
      <c r="D68" s="252" t="s">
        <v>383</v>
      </c>
      <c r="E68" s="360" t="s">
        <v>384</v>
      </c>
      <c r="F68" s="252" t="s">
        <v>385</v>
      </c>
      <c r="G68" s="258">
        <v>2011.0</v>
      </c>
      <c r="H68" s="258">
        <v>18000.0</v>
      </c>
      <c r="I68" s="305"/>
      <c r="J68" s="305"/>
      <c r="K68" s="258" t="s">
        <v>32</v>
      </c>
      <c r="L68" s="336"/>
    </row>
    <row r="69">
      <c r="A69" s="258">
        <v>3.0</v>
      </c>
      <c r="B69" s="361">
        <v>46196.0</v>
      </c>
      <c r="C69" s="336">
        <v>10000.0</v>
      </c>
      <c r="D69" s="362" t="s">
        <v>386</v>
      </c>
      <c r="E69" s="359">
        <v>9.96225082511E11</v>
      </c>
      <c r="F69" s="336"/>
      <c r="G69" s="363"/>
      <c r="H69" s="336">
        <v>10000.0</v>
      </c>
      <c r="I69" s="363"/>
      <c r="J69" s="363"/>
      <c r="K69" s="336" t="s">
        <v>74</v>
      </c>
      <c r="L69" s="336"/>
      <c r="M69" s="250"/>
      <c r="N69" s="250"/>
      <c r="O69" s="250"/>
      <c r="P69" s="250"/>
      <c r="Q69" s="250"/>
      <c r="R69" s="250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258">
        <v>4.0</v>
      </c>
      <c r="B70" s="349">
        <v>46197.0</v>
      </c>
      <c r="C70" s="258">
        <v>10000.0</v>
      </c>
      <c r="D70" s="358" t="s">
        <v>387</v>
      </c>
      <c r="E70" s="359" t="s">
        <v>388</v>
      </c>
      <c r="F70" s="258" t="s">
        <v>389</v>
      </c>
      <c r="G70" s="305"/>
      <c r="H70" s="258">
        <v>10000.0</v>
      </c>
      <c r="I70" s="305"/>
      <c r="J70" s="258"/>
      <c r="K70" s="258" t="s">
        <v>32</v>
      </c>
      <c r="L70" s="336"/>
    </row>
    <row r="71">
      <c r="A71" s="258">
        <v>5.0</v>
      </c>
      <c r="B71" s="364">
        <v>46197.0</v>
      </c>
      <c r="C71" s="263">
        <v>9000.0</v>
      </c>
      <c r="D71" s="365" t="s">
        <v>390</v>
      </c>
      <c r="E71" s="366" t="s">
        <v>391</v>
      </c>
      <c r="F71" s="263" t="s">
        <v>391</v>
      </c>
      <c r="G71" s="367"/>
      <c r="H71" s="263">
        <v>10000.0</v>
      </c>
      <c r="I71" s="367"/>
      <c r="J71" s="367"/>
      <c r="K71" s="263" t="s">
        <v>246</v>
      </c>
      <c r="L71" s="368"/>
    </row>
    <row r="72">
      <c r="A72" s="258">
        <v>6.0</v>
      </c>
      <c r="B72" s="357">
        <v>46197.0</v>
      </c>
      <c r="C72" s="258">
        <v>18000.0</v>
      </c>
      <c r="D72" s="358" t="s">
        <v>392</v>
      </c>
      <c r="E72" s="359">
        <v>2.24201575E8</v>
      </c>
      <c r="F72" s="258"/>
      <c r="G72" s="305"/>
      <c r="H72" s="258">
        <v>10000.0</v>
      </c>
      <c r="I72" s="305"/>
      <c r="J72" s="305"/>
      <c r="K72" s="369" t="s">
        <v>74</v>
      </c>
      <c r="L72" s="336"/>
    </row>
    <row r="73">
      <c r="A73" s="258">
        <v>7.0</v>
      </c>
      <c r="B73" s="357">
        <v>46198.0</v>
      </c>
      <c r="C73" s="258">
        <v>18000.0</v>
      </c>
      <c r="D73" s="358" t="s">
        <v>393</v>
      </c>
      <c r="E73" s="359" t="s">
        <v>394</v>
      </c>
      <c r="F73" s="258" t="s">
        <v>394</v>
      </c>
      <c r="G73" s="305"/>
      <c r="H73" s="258">
        <v>18000.0</v>
      </c>
      <c r="I73" s="305"/>
      <c r="J73" s="305"/>
      <c r="K73" s="258" t="s">
        <v>32</v>
      </c>
      <c r="L73" s="336"/>
    </row>
    <row r="74">
      <c r="A74" s="258">
        <v>8.0</v>
      </c>
      <c r="B74" s="370"/>
      <c r="C74" s="336"/>
      <c r="D74" s="186" t="s">
        <v>395</v>
      </c>
      <c r="E74" s="336"/>
      <c r="F74" s="336"/>
      <c r="G74" s="336"/>
      <c r="H74" s="336"/>
      <c r="I74" s="363"/>
      <c r="J74" s="363"/>
      <c r="K74" s="336" t="s">
        <v>20</v>
      </c>
      <c r="L74" s="371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</row>
    <row r="75">
      <c r="A75" s="258">
        <v>9.0</v>
      </c>
      <c r="B75" s="349">
        <v>46199.0</v>
      </c>
      <c r="C75" s="258">
        <v>10000.0</v>
      </c>
      <c r="D75" s="258" t="s">
        <v>396</v>
      </c>
      <c r="E75" s="336" t="s">
        <v>397</v>
      </c>
      <c r="F75" s="258" t="s">
        <v>398</v>
      </c>
      <c r="G75" s="305"/>
      <c r="H75" s="258">
        <v>10000.0</v>
      </c>
      <c r="I75" s="305"/>
      <c r="J75" s="305"/>
      <c r="K75" s="258" t="s">
        <v>32</v>
      </c>
      <c r="L75" s="336"/>
    </row>
    <row r="76">
      <c r="A76" s="258">
        <v>10.0</v>
      </c>
      <c r="B76" s="361">
        <v>46203.0</v>
      </c>
      <c r="C76" s="336">
        <v>10000.0</v>
      </c>
      <c r="D76" s="277" t="s">
        <v>399</v>
      </c>
      <c r="E76" s="336" t="s">
        <v>400</v>
      </c>
      <c r="F76" s="336"/>
      <c r="G76" s="336"/>
      <c r="H76" s="336"/>
      <c r="I76" s="363"/>
      <c r="J76" s="363"/>
      <c r="K76" s="369" t="s">
        <v>401</v>
      </c>
      <c r="L76" s="336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</row>
    <row r="77">
      <c r="A77" s="258">
        <v>11.0</v>
      </c>
      <c r="B77" s="361">
        <v>46203.0</v>
      </c>
      <c r="C77" s="336">
        <v>10000.0</v>
      </c>
      <c r="D77" s="336" t="s">
        <v>402</v>
      </c>
      <c r="E77" s="336" t="s">
        <v>403</v>
      </c>
      <c r="F77" s="336" t="s">
        <v>404</v>
      </c>
      <c r="G77" s="336">
        <v>2013.0</v>
      </c>
      <c r="H77" s="336">
        <v>10000.0</v>
      </c>
      <c r="I77" s="363"/>
      <c r="J77" s="363"/>
      <c r="K77" s="336" t="s">
        <v>32</v>
      </c>
      <c r="L77" s="336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</row>
    <row r="78">
      <c r="A78" s="258">
        <v>13.0</v>
      </c>
      <c r="B78" s="357">
        <v>46202.0</v>
      </c>
      <c r="C78" s="258">
        <v>10000.0</v>
      </c>
      <c r="D78" s="258" t="s">
        <v>405</v>
      </c>
      <c r="E78" s="359" t="s">
        <v>406</v>
      </c>
      <c r="F78" s="258" t="s">
        <v>407</v>
      </c>
      <c r="G78" s="258" t="s">
        <v>408</v>
      </c>
      <c r="H78" s="258">
        <v>10000.0</v>
      </c>
      <c r="I78" s="305"/>
      <c r="J78" s="305"/>
      <c r="K78" s="258" t="s">
        <v>32</v>
      </c>
      <c r="L78" s="371"/>
      <c r="M78" s="30" t="s">
        <v>409</v>
      </c>
    </row>
    <row r="79">
      <c r="A79" s="258">
        <v>14.0</v>
      </c>
      <c r="B79" s="357">
        <v>46202.0</v>
      </c>
      <c r="C79" s="258">
        <v>10000.0</v>
      </c>
      <c r="D79" s="336" t="s">
        <v>410</v>
      </c>
      <c r="E79" s="359">
        <f t="shared" ref="E79:F79" si="1">79992469826</f>
        <v>79992469826</v>
      </c>
      <c r="F79" s="258">
        <f t="shared" si="1"/>
        <v>79992469826</v>
      </c>
      <c r="G79" s="305"/>
      <c r="H79" s="258">
        <v>10000.0</v>
      </c>
      <c r="I79" s="305"/>
      <c r="J79" s="305"/>
      <c r="K79" s="369" t="s">
        <v>411</v>
      </c>
      <c r="L79" s="336"/>
    </row>
    <row r="80">
      <c r="A80" s="258">
        <v>15.0</v>
      </c>
      <c r="B80" s="357">
        <v>46203.0</v>
      </c>
      <c r="C80" s="258">
        <v>10000.0</v>
      </c>
      <c r="D80" s="372" t="s">
        <v>412</v>
      </c>
      <c r="E80" s="359" t="s">
        <v>413</v>
      </c>
      <c r="F80" s="258" t="s">
        <v>414</v>
      </c>
      <c r="G80" s="305"/>
      <c r="H80" s="258">
        <v>10000.0</v>
      </c>
      <c r="I80" s="305"/>
      <c r="J80" s="305"/>
      <c r="K80" s="258" t="s">
        <v>32</v>
      </c>
      <c r="L80" s="336"/>
    </row>
    <row r="81">
      <c r="A81" s="258">
        <v>16.0</v>
      </c>
      <c r="B81" s="357">
        <v>46202.0</v>
      </c>
      <c r="C81" s="258">
        <v>9000.0</v>
      </c>
      <c r="D81" s="258" t="s">
        <v>415</v>
      </c>
      <c r="E81" s="359">
        <v>7.07013025E8</v>
      </c>
      <c r="F81" s="258" t="s">
        <v>416</v>
      </c>
      <c r="G81" s="305"/>
      <c r="H81" s="258">
        <v>9000.0</v>
      </c>
      <c r="I81" s="305"/>
      <c r="J81" s="305"/>
      <c r="K81" s="258" t="s">
        <v>20</v>
      </c>
      <c r="L81" s="336"/>
    </row>
    <row r="83">
      <c r="M83" s="30" t="s">
        <v>417</v>
      </c>
    </row>
    <row r="87">
      <c r="B87" s="30" t="s">
        <v>418</v>
      </c>
    </row>
    <row r="89">
      <c r="D89" s="30" t="s">
        <v>419</v>
      </c>
    </row>
  </sheetData>
  <mergeCells count="8">
    <mergeCell ref="A2:J2"/>
    <mergeCell ref="K2:K3"/>
    <mergeCell ref="A22:J22"/>
    <mergeCell ref="K22:K23"/>
    <mergeCell ref="B45:K45"/>
    <mergeCell ref="A65:J65"/>
    <mergeCell ref="K65:K66"/>
    <mergeCell ref="L22:L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0.5"/>
    <col customWidth="1" min="4" max="4" width="26.13"/>
    <col customWidth="1" min="5" max="5" width="22.0"/>
    <col customWidth="1" min="6" max="6" width="25.0"/>
    <col customWidth="1" min="7" max="7" width="19.25"/>
    <col customWidth="1" min="11" max="11" width="20.5"/>
    <col customWidth="1" min="12" max="12" width="25.25"/>
    <col customWidth="1" min="13" max="13" width="32.63"/>
  </cols>
  <sheetData>
    <row r="1">
      <c r="A1" s="373" t="s">
        <v>420</v>
      </c>
      <c r="B1" s="373"/>
      <c r="C1" s="373"/>
      <c r="D1" s="374"/>
      <c r="E1" s="374"/>
      <c r="F1" s="374"/>
      <c r="G1" s="374"/>
      <c r="H1" s="374"/>
      <c r="I1" s="374"/>
      <c r="J1" s="374"/>
    </row>
    <row r="2" ht="27.0" customHeight="1">
      <c r="A2" s="228" t="s">
        <v>421</v>
      </c>
      <c r="B2" s="172"/>
      <c r="C2" s="172"/>
      <c r="D2" s="172"/>
      <c r="E2" s="172"/>
      <c r="F2" s="172"/>
      <c r="G2" s="172"/>
      <c r="H2" s="172"/>
      <c r="I2" s="172"/>
      <c r="J2" s="173"/>
      <c r="K2" s="229">
        <f>SUM(H4:H16)</f>
        <v>246000</v>
      </c>
      <c r="L2" s="230" t="s">
        <v>275</v>
      </c>
      <c r="M2" s="231"/>
    </row>
    <row r="3" ht="17.25" customHeight="1">
      <c r="A3" s="375" t="s">
        <v>1</v>
      </c>
      <c r="B3" s="375" t="s">
        <v>2</v>
      </c>
      <c r="C3" s="375" t="s">
        <v>3</v>
      </c>
      <c r="D3" s="375" t="s">
        <v>4</v>
      </c>
      <c r="E3" s="375" t="s">
        <v>5</v>
      </c>
      <c r="F3" s="376" t="s">
        <v>6</v>
      </c>
      <c r="G3" s="377" t="s">
        <v>7</v>
      </c>
      <c r="H3" s="359" t="s">
        <v>8</v>
      </c>
      <c r="I3" s="378" t="s">
        <v>9</v>
      </c>
      <c r="J3" s="237" t="s">
        <v>49</v>
      </c>
      <c r="L3" s="231"/>
      <c r="M3" s="231"/>
    </row>
    <row r="4">
      <c r="A4" s="238">
        <v>1.0</v>
      </c>
      <c r="B4" s="239">
        <v>46154.0</v>
      </c>
      <c r="C4" s="243">
        <v>8000.0</v>
      </c>
      <c r="D4" s="379" t="s">
        <v>422</v>
      </c>
      <c r="E4" s="258" t="s">
        <v>423</v>
      </c>
      <c r="F4" s="258" t="s">
        <v>424</v>
      </c>
      <c r="G4" s="380"/>
      <c r="H4" s="306">
        <v>24000.0</v>
      </c>
      <c r="I4" s="272"/>
      <c r="J4" s="247"/>
      <c r="K4" s="248" t="s">
        <v>20</v>
      </c>
      <c r="L4" s="231"/>
      <c r="M4" s="381"/>
    </row>
    <row r="5">
      <c r="A5" s="238">
        <v>2.0</v>
      </c>
      <c r="B5" s="307"/>
      <c r="C5" s="382">
        <v>8000.0</v>
      </c>
      <c r="D5" s="379" t="s">
        <v>425</v>
      </c>
      <c r="E5" s="306">
        <v>2.25493939E8</v>
      </c>
      <c r="F5" s="305"/>
      <c r="G5" s="383"/>
      <c r="H5" s="306">
        <v>32000.0</v>
      </c>
      <c r="I5" s="307"/>
      <c r="J5" s="247"/>
      <c r="K5" s="248" t="s">
        <v>426</v>
      </c>
      <c r="L5" s="231"/>
      <c r="M5" s="384"/>
    </row>
    <row r="6">
      <c r="A6" s="238">
        <v>3.0</v>
      </c>
      <c r="B6" s="307"/>
      <c r="C6" s="243">
        <v>8000.0</v>
      </c>
      <c r="D6" s="379" t="s">
        <v>427</v>
      </c>
      <c r="E6" s="306">
        <v>7.73190179E8</v>
      </c>
      <c r="F6" s="305"/>
      <c r="G6" s="383"/>
      <c r="H6" s="306">
        <v>24000.0</v>
      </c>
      <c r="I6" s="307"/>
      <c r="J6" s="247"/>
      <c r="K6" s="248" t="s">
        <v>426</v>
      </c>
      <c r="L6" s="231"/>
      <c r="M6" s="381"/>
    </row>
    <row r="7">
      <c r="A7" s="238">
        <v>4.0</v>
      </c>
      <c r="B7" s="307"/>
      <c r="C7" s="243">
        <v>8000.0</v>
      </c>
      <c r="D7" s="379" t="s">
        <v>428</v>
      </c>
      <c r="E7" s="306">
        <v>7.73190179E8</v>
      </c>
      <c r="F7" s="231"/>
      <c r="G7" s="383"/>
      <c r="H7" s="306">
        <v>24000.0</v>
      </c>
      <c r="I7" s="307"/>
      <c r="J7" s="259"/>
      <c r="K7" s="248" t="s">
        <v>426</v>
      </c>
      <c r="L7" s="231"/>
      <c r="M7" s="381"/>
    </row>
    <row r="8">
      <c r="A8" s="238">
        <v>5.0</v>
      </c>
      <c r="B8" s="307"/>
      <c r="C8" s="385">
        <v>8000.0</v>
      </c>
      <c r="D8" s="386" t="s">
        <v>429</v>
      </c>
      <c r="E8" s="306">
        <v>7.01316632E8</v>
      </c>
      <c r="F8" s="305"/>
      <c r="G8" s="383"/>
      <c r="H8" s="306">
        <v>24000.0</v>
      </c>
      <c r="I8" s="307"/>
      <c r="J8" s="247"/>
      <c r="K8" s="248" t="s">
        <v>426</v>
      </c>
      <c r="L8" s="231"/>
      <c r="M8" s="387"/>
    </row>
    <row r="9">
      <c r="A9" s="238">
        <v>6.0</v>
      </c>
      <c r="B9" s="258"/>
      <c r="C9" s="258">
        <v>8000.0</v>
      </c>
      <c r="D9" s="273" t="s">
        <v>430</v>
      </c>
      <c r="E9" s="388">
        <v>5.52260677E8</v>
      </c>
      <c r="F9" s="305"/>
      <c r="G9" s="258"/>
      <c r="H9" s="258">
        <v>8000.0</v>
      </c>
      <c r="I9" s="305"/>
      <c r="J9" s="231"/>
      <c r="K9" s="240" t="s">
        <v>193</v>
      </c>
      <c r="L9" s="240" t="s">
        <v>431</v>
      </c>
      <c r="M9" s="389"/>
    </row>
    <row r="10">
      <c r="A10" s="238">
        <v>7.0</v>
      </c>
      <c r="B10" s="251">
        <v>46161.0</v>
      </c>
      <c r="C10" s="243">
        <v>10000.0</v>
      </c>
      <c r="D10" s="386" t="s">
        <v>432</v>
      </c>
      <c r="E10" s="306" t="s">
        <v>433</v>
      </c>
      <c r="F10" s="305"/>
      <c r="G10" s="390" t="s">
        <v>434</v>
      </c>
      <c r="H10" s="306">
        <v>10000.0</v>
      </c>
      <c r="I10" s="307"/>
      <c r="J10" s="247"/>
      <c r="K10" s="248" t="s">
        <v>20</v>
      </c>
      <c r="L10" s="391" t="s">
        <v>435</v>
      </c>
      <c r="M10" s="381"/>
    </row>
    <row r="11">
      <c r="A11" s="238">
        <v>8.0</v>
      </c>
      <c r="B11" s="251"/>
      <c r="C11" s="272">
        <v>8000.0</v>
      </c>
      <c r="D11" s="273" t="s">
        <v>436</v>
      </c>
      <c r="E11" s="258"/>
      <c r="F11" s="258"/>
      <c r="G11" s="383"/>
      <c r="H11" s="258">
        <v>8000.0</v>
      </c>
      <c r="I11" s="307"/>
      <c r="J11" s="247"/>
      <c r="K11" s="248" t="s">
        <v>257</v>
      </c>
      <c r="L11" s="391" t="s">
        <v>437</v>
      </c>
      <c r="M11" s="392"/>
    </row>
    <row r="12">
      <c r="A12" s="238">
        <v>9.0</v>
      </c>
      <c r="B12" s="251">
        <v>46168.0</v>
      </c>
      <c r="C12" s="272">
        <v>8000.0</v>
      </c>
      <c r="D12" s="273" t="s">
        <v>438</v>
      </c>
      <c r="E12" s="258" t="s">
        <v>439</v>
      </c>
      <c r="F12" s="343" t="s">
        <v>440</v>
      </c>
      <c r="G12" s="390"/>
      <c r="H12" s="258">
        <v>24000.0</v>
      </c>
      <c r="I12" s="307"/>
      <c r="J12" s="259"/>
      <c r="K12" s="248" t="s">
        <v>20</v>
      </c>
      <c r="L12" s="391"/>
      <c r="M12" s="392"/>
      <c r="N12" s="393"/>
    </row>
    <row r="13">
      <c r="A13" s="238">
        <v>10.0</v>
      </c>
      <c r="B13" s="272" t="s">
        <v>441</v>
      </c>
      <c r="C13" s="272">
        <v>8000.0</v>
      </c>
      <c r="D13" s="273" t="s">
        <v>442</v>
      </c>
      <c r="E13" s="258" t="s">
        <v>443</v>
      </c>
      <c r="F13" s="258" t="s">
        <v>443</v>
      </c>
      <c r="G13" s="383"/>
      <c r="H13" s="258">
        <v>24000.0</v>
      </c>
      <c r="I13" s="307"/>
      <c r="J13" s="247"/>
      <c r="K13" s="248" t="s">
        <v>246</v>
      </c>
      <c r="L13" s="391"/>
      <c r="M13" s="392"/>
      <c r="N13" s="393"/>
    </row>
    <row r="14">
      <c r="A14" s="238">
        <v>11.0</v>
      </c>
      <c r="B14" s="272" t="s">
        <v>441</v>
      </c>
      <c r="C14" s="394">
        <v>8000.0</v>
      </c>
      <c r="D14" s="273" t="s">
        <v>444</v>
      </c>
      <c r="E14" s="258" t="s">
        <v>445</v>
      </c>
      <c r="F14" s="258" t="s">
        <v>446</v>
      </c>
      <c r="G14" s="383"/>
      <c r="H14" s="258">
        <v>24000.0</v>
      </c>
      <c r="I14" s="307"/>
      <c r="J14" s="247"/>
      <c r="K14" s="248" t="s">
        <v>32</v>
      </c>
      <c r="L14" s="391" t="s">
        <v>447</v>
      </c>
      <c r="M14" s="392"/>
      <c r="N14" s="393"/>
    </row>
    <row r="15">
      <c r="A15" s="238">
        <v>12.0</v>
      </c>
      <c r="B15" s="256">
        <v>46171.0</v>
      </c>
      <c r="C15" s="394">
        <v>10000.0</v>
      </c>
      <c r="D15" s="273" t="s">
        <v>448</v>
      </c>
      <c r="E15" s="258" t="s">
        <v>449</v>
      </c>
      <c r="F15" s="258" t="s">
        <v>449</v>
      </c>
      <c r="G15" s="383"/>
      <c r="H15" s="258">
        <v>10000.0</v>
      </c>
      <c r="I15" s="307"/>
      <c r="J15" s="247"/>
      <c r="K15" s="248" t="s">
        <v>32</v>
      </c>
      <c r="L15" s="391" t="s">
        <v>450</v>
      </c>
      <c r="M15" s="392"/>
      <c r="N15" s="393"/>
    </row>
    <row r="16">
      <c r="A16" s="238">
        <v>13.0</v>
      </c>
      <c r="B16" s="395">
        <v>46181.0</v>
      </c>
      <c r="C16" s="295">
        <v>10000.0</v>
      </c>
      <c r="D16" s="273" t="s">
        <v>451</v>
      </c>
      <c r="E16" s="297">
        <v>7.55414181E8</v>
      </c>
      <c r="F16" s="297" t="s">
        <v>452</v>
      </c>
      <c r="G16" s="396"/>
      <c r="H16" s="258">
        <v>10000.0</v>
      </c>
      <c r="I16" s="397"/>
      <c r="J16" s="300"/>
      <c r="K16" s="398" t="s">
        <v>74</v>
      </c>
      <c r="L16" s="399"/>
      <c r="M16" s="392"/>
      <c r="N16" s="393"/>
    </row>
    <row r="17">
      <c r="A17" s="238">
        <v>14.0</v>
      </c>
      <c r="B17" s="397"/>
      <c r="C17" s="400"/>
      <c r="D17" s="273" t="s">
        <v>453</v>
      </c>
      <c r="E17" s="401"/>
      <c r="F17" s="401"/>
      <c r="G17" s="396"/>
      <c r="H17" s="258">
        <v>10000.0</v>
      </c>
      <c r="I17" s="397"/>
      <c r="J17" s="300"/>
      <c r="K17" s="248" t="s">
        <v>193</v>
      </c>
      <c r="L17" s="399"/>
      <c r="M17" s="391"/>
      <c r="N17" s="393"/>
    </row>
    <row r="18">
      <c r="A18" s="238">
        <v>15.0</v>
      </c>
      <c r="B18" s="397"/>
      <c r="C18" s="400"/>
      <c r="D18" s="273" t="s">
        <v>454</v>
      </c>
      <c r="E18" s="401"/>
      <c r="F18" s="401"/>
      <c r="G18" s="396"/>
      <c r="H18" s="258"/>
      <c r="I18" s="397"/>
      <c r="J18" s="300"/>
      <c r="K18" s="248" t="s">
        <v>193</v>
      </c>
      <c r="L18" s="399"/>
      <c r="M18" s="392"/>
      <c r="N18" s="393"/>
    </row>
    <row r="19">
      <c r="A19" s="240"/>
      <c r="B19" s="231"/>
      <c r="C19" s="231"/>
      <c r="D19" s="248"/>
      <c r="E19" s="231"/>
      <c r="F19" s="231"/>
      <c r="G19" s="231"/>
      <c r="H19" s="240"/>
      <c r="I19" s="231"/>
      <c r="J19" s="231"/>
      <c r="L19" s="393"/>
      <c r="M19" s="393"/>
      <c r="N19" s="393"/>
    </row>
    <row r="20">
      <c r="L20" s="393"/>
      <c r="M20" s="393"/>
      <c r="N20" s="393"/>
    </row>
    <row r="23">
      <c r="A23" s="228" t="s">
        <v>455</v>
      </c>
      <c r="B23" s="172"/>
      <c r="C23" s="172"/>
      <c r="D23" s="172"/>
      <c r="E23" s="172"/>
      <c r="F23" s="172"/>
      <c r="G23" s="172"/>
      <c r="H23" s="172"/>
      <c r="I23" s="172"/>
      <c r="J23" s="173"/>
      <c r="K23" s="229">
        <f>SUM(H25:H39)</f>
        <v>192000</v>
      </c>
      <c r="L23" s="230" t="s">
        <v>275</v>
      </c>
    </row>
    <row r="24">
      <c r="A24" s="232" t="s">
        <v>1</v>
      </c>
      <c r="B24" s="232" t="s">
        <v>2</v>
      </c>
      <c r="C24" s="232" t="s">
        <v>3</v>
      </c>
      <c r="D24" s="232" t="s">
        <v>4</v>
      </c>
      <c r="E24" s="232" t="s">
        <v>5</v>
      </c>
      <c r="F24" s="233" t="s">
        <v>6</v>
      </c>
      <c r="G24" s="402" t="s">
        <v>7</v>
      </c>
      <c r="H24" s="354" t="s">
        <v>8</v>
      </c>
      <c r="I24" s="378" t="s">
        <v>9</v>
      </c>
      <c r="J24" s="237" t="s">
        <v>90</v>
      </c>
    </row>
    <row r="25">
      <c r="A25" s="403">
        <v>1.0</v>
      </c>
      <c r="B25" s="404">
        <v>46158.0</v>
      </c>
      <c r="C25" s="382">
        <v>10000.0</v>
      </c>
      <c r="D25" s="405" t="s">
        <v>456</v>
      </c>
      <c r="E25" s="406"/>
      <c r="F25" s="336"/>
      <c r="G25" s="407" t="s">
        <v>0</v>
      </c>
      <c r="H25" s="406">
        <v>10000.0</v>
      </c>
      <c r="I25" s="408"/>
      <c r="J25" s="409"/>
      <c r="K25" s="248" t="s">
        <v>193</v>
      </c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>
      <c r="A26" s="246">
        <v>2.0</v>
      </c>
      <c r="B26" s="251">
        <v>46160.0</v>
      </c>
      <c r="C26" s="243">
        <v>10000.0</v>
      </c>
      <c r="D26" s="410" t="s">
        <v>457</v>
      </c>
      <c r="E26" s="411"/>
      <c r="F26" s="412" t="s">
        <v>458</v>
      </c>
      <c r="G26" s="383"/>
      <c r="H26" s="306">
        <v>10000.0</v>
      </c>
      <c r="I26" s="307"/>
      <c r="J26" s="247"/>
      <c r="K26" s="248" t="s">
        <v>74</v>
      </c>
    </row>
    <row r="27">
      <c r="A27" s="246">
        <v>3.0</v>
      </c>
      <c r="B27" s="251">
        <v>46167.0</v>
      </c>
      <c r="C27" s="272">
        <v>10000.0</v>
      </c>
      <c r="D27" s="273" t="s">
        <v>459</v>
      </c>
      <c r="E27" s="258" t="s">
        <v>460</v>
      </c>
      <c r="F27" s="343" t="s">
        <v>461</v>
      </c>
      <c r="G27" s="390" t="s">
        <v>462</v>
      </c>
      <c r="H27" s="258">
        <v>10000.0</v>
      </c>
      <c r="I27" s="307"/>
      <c r="J27" s="247"/>
      <c r="K27" s="248" t="s">
        <v>20</v>
      </c>
    </row>
    <row r="28">
      <c r="A28" s="238">
        <v>4.0</v>
      </c>
      <c r="B28" s="256">
        <v>46165.0</v>
      </c>
      <c r="C28" s="243">
        <v>8000.0</v>
      </c>
      <c r="D28" s="273" t="s">
        <v>463</v>
      </c>
      <c r="E28" s="258">
        <v>9.99464043E8</v>
      </c>
      <c r="F28" s="258">
        <v>5.0706876E8</v>
      </c>
      <c r="G28" s="413"/>
      <c r="H28" s="258">
        <v>24000.0</v>
      </c>
      <c r="I28" s="307"/>
      <c r="J28" s="247"/>
      <c r="K28" s="248" t="s">
        <v>32</v>
      </c>
    </row>
    <row r="29">
      <c r="A29" s="246">
        <v>5.0</v>
      </c>
      <c r="B29" s="251">
        <v>46172.0</v>
      </c>
      <c r="C29" s="243">
        <v>8000.0</v>
      </c>
      <c r="D29" s="379" t="s">
        <v>464</v>
      </c>
      <c r="E29" s="306" t="s">
        <v>465</v>
      </c>
      <c r="F29" s="258" t="s">
        <v>466</v>
      </c>
      <c r="G29" s="383"/>
      <c r="H29" s="306">
        <v>8000.0</v>
      </c>
      <c r="I29" s="307"/>
      <c r="J29" s="247"/>
      <c r="K29" s="248" t="s">
        <v>20</v>
      </c>
    </row>
    <row r="30">
      <c r="A30" s="246">
        <v>6.0</v>
      </c>
      <c r="B30" s="256">
        <v>46172.0</v>
      </c>
      <c r="C30" s="243">
        <v>8000.0</v>
      </c>
      <c r="D30" s="379" t="s">
        <v>467</v>
      </c>
      <c r="E30" s="306" t="s">
        <v>468</v>
      </c>
      <c r="F30" s="258" t="s">
        <v>468</v>
      </c>
      <c r="G30" s="383"/>
      <c r="H30" s="306">
        <v>24000.0</v>
      </c>
      <c r="I30" s="307"/>
      <c r="J30" s="247"/>
      <c r="K30" s="248" t="s">
        <v>32</v>
      </c>
    </row>
    <row r="31">
      <c r="A31" s="238">
        <v>7.0</v>
      </c>
      <c r="B31" s="256">
        <v>46173.0</v>
      </c>
      <c r="C31" s="243">
        <v>10000.0</v>
      </c>
      <c r="D31" s="414" t="s">
        <v>469</v>
      </c>
      <c r="E31" s="258">
        <v>5.52344303E8</v>
      </c>
      <c r="F31" s="258">
        <v>7.78344303E8</v>
      </c>
      <c r="G31" s="383"/>
      <c r="H31" s="415">
        <v>10000.0</v>
      </c>
      <c r="I31" s="307"/>
      <c r="J31" s="247"/>
      <c r="K31" s="248" t="s">
        <v>470</v>
      </c>
    </row>
    <row r="32">
      <c r="A32" s="246">
        <v>8.0</v>
      </c>
      <c r="B32" s="416">
        <v>46165.0</v>
      </c>
      <c r="C32" s="417">
        <v>24000.0</v>
      </c>
      <c r="D32" s="418" t="s">
        <v>471</v>
      </c>
      <c r="E32" s="419">
        <v>7.76266365E8</v>
      </c>
      <c r="F32" s="419" t="s">
        <v>472</v>
      </c>
      <c r="G32" s="420"/>
      <c r="H32" s="419">
        <v>24000.0</v>
      </c>
      <c r="I32" s="421"/>
      <c r="J32" s="422"/>
      <c r="K32" s="248" t="s">
        <v>74</v>
      </c>
    </row>
    <row r="33">
      <c r="A33" s="246">
        <v>9.0</v>
      </c>
      <c r="B33" s="251">
        <v>46174.0</v>
      </c>
      <c r="C33" s="394">
        <v>8000.0</v>
      </c>
      <c r="D33" s="386" t="s">
        <v>473</v>
      </c>
      <c r="E33" s="277" t="s">
        <v>474</v>
      </c>
      <c r="F33" s="258" t="s">
        <v>466</v>
      </c>
      <c r="G33" s="383"/>
      <c r="H33" s="258">
        <v>8000.0</v>
      </c>
      <c r="I33" s="307"/>
      <c r="J33" s="247"/>
      <c r="K33" s="248" t="s">
        <v>20</v>
      </c>
      <c r="L33" s="30" t="s">
        <v>475</v>
      </c>
    </row>
    <row r="34">
      <c r="A34" s="238">
        <v>10.0</v>
      </c>
      <c r="B34" s="251">
        <v>46174.0</v>
      </c>
      <c r="C34" s="276">
        <v>10000.0</v>
      </c>
      <c r="D34" s="273" t="s">
        <v>476</v>
      </c>
      <c r="E34" s="258">
        <v>7.70007527E8</v>
      </c>
      <c r="F34" s="258">
        <v>7.7729058E8</v>
      </c>
      <c r="G34" s="383"/>
      <c r="H34" s="258">
        <v>10000.0</v>
      </c>
      <c r="I34" s="307"/>
      <c r="J34" s="247"/>
      <c r="K34" s="248" t="s">
        <v>74</v>
      </c>
      <c r="L34" s="30" t="s">
        <v>477</v>
      </c>
    </row>
    <row r="35">
      <c r="A35" s="246">
        <v>11.0</v>
      </c>
      <c r="B35" s="251">
        <v>46174.0</v>
      </c>
      <c r="C35" s="276">
        <v>10000.0</v>
      </c>
      <c r="D35" s="273" t="s">
        <v>478</v>
      </c>
      <c r="E35" s="258" t="s">
        <v>479</v>
      </c>
      <c r="F35" s="305"/>
      <c r="G35" s="383"/>
      <c r="H35" s="258">
        <v>10000.0</v>
      </c>
      <c r="I35" s="307"/>
      <c r="J35" s="247"/>
      <c r="K35" s="248" t="s">
        <v>20</v>
      </c>
      <c r="L35" s="30" t="s">
        <v>480</v>
      </c>
    </row>
    <row r="36">
      <c r="A36" s="246">
        <v>12.0</v>
      </c>
      <c r="B36" s="251">
        <v>46175.0</v>
      </c>
      <c r="C36" s="408">
        <v>10000.0</v>
      </c>
      <c r="D36" s="273" t="s">
        <v>481</v>
      </c>
      <c r="E36" s="336" t="s">
        <v>482</v>
      </c>
      <c r="F36" s="336" t="s">
        <v>483</v>
      </c>
      <c r="G36" s="423"/>
      <c r="H36" s="336">
        <v>10000.0</v>
      </c>
      <c r="I36" s="338"/>
      <c r="J36" s="409"/>
      <c r="K36" s="248" t="s">
        <v>20</v>
      </c>
    </row>
    <row r="37">
      <c r="A37" s="238">
        <v>13.0</v>
      </c>
      <c r="B37" s="334">
        <v>46175.0</v>
      </c>
      <c r="C37" s="394">
        <v>10000.0</v>
      </c>
      <c r="D37" s="273" t="s">
        <v>484</v>
      </c>
      <c r="E37" s="273" t="s">
        <v>484</v>
      </c>
      <c r="F37" s="363"/>
      <c r="G37" s="423"/>
      <c r="H37" s="336">
        <v>24000.0</v>
      </c>
      <c r="I37" s="338"/>
      <c r="J37" s="409"/>
      <c r="K37" s="248" t="s">
        <v>74</v>
      </c>
    </row>
    <row r="38">
      <c r="A38" s="246">
        <v>14.0</v>
      </c>
      <c r="B38" s="251">
        <v>46174.0</v>
      </c>
      <c r="C38" s="272">
        <v>10000.0</v>
      </c>
      <c r="D38" s="273" t="s">
        <v>485</v>
      </c>
      <c r="E38" s="258">
        <v>7.01088431E8</v>
      </c>
      <c r="F38" s="258" t="s">
        <v>486</v>
      </c>
      <c r="G38" s="383"/>
      <c r="H38" s="258">
        <v>10000.0</v>
      </c>
      <c r="I38" s="307"/>
      <c r="J38" s="247"/>
      <c r="K38" s="248" t="s">
        <v>487</v>
      </c>
      <c r="L38" s="30" t="s">
        <v>0</v>
      </c>
    </row>
    <row r="39">
      <c r="A39" s="424">
        <v>15.0</v>
      </c>
      <c r="B39" s="425"/>
      <c r="C39" s="426"/>
      <c r="D39" s="427" t="s">
        <v>488</v>
      </c>
      <c r="E39" s="296"/>
      <c r="F39" s="296"/>
      <c r="G39" s="428"/>
      <c r="H39" s="273"/>
      <c r="I39" s="429"/>
      <c r="J39" s="430"/>
      <c r="K39" s="405"/>
      <c r="L39" s="32"/>
      <c r="M39" s="32"/>
      <c r="N39" s="32"/>
      <c r="O39" s="32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3">
      <c r="D43" s="30" t="s">
        <v>489</v>
      </c>
      <c r="E43" s="431">
        <v>0.5208333333333334</v>
      </c>
      <c r="F43" s="30" t="s">
        <v>490</v>
      </c>
      <c r="G43" s="30" t="s">
        <v>491</v>
      </c>
    </row>
    <row r="45">
      <c r="D45" s="30" t="s">
        <v>492</v>
      </c>
    </row>
    <row r="49">
      <c r="A49" s="171" t="s">
        <v>493</v>
      </c>
      <c r="B49" s="172"/>
      <c r="C49" s="172"/>
      <c r="D49" s="172"/>
      <c r="E49" s="172"/>
      <c r="F49" s="172"/>
      <c r="G49" s="172"/>
      <c r="H49" s="172"/>
      <c r="I49" s="172"/>
      <c r="J49" s="173"/>
    </row>
    <row r="50">
      <c r="A50" s="232" t="s">
        <v>1</v>
      </c>
      <c r="B50" s="232" t="s">
        <v>2</v>
      </c>
      <c r="C50" s="232" t="s">
        <v>3</v>
      </c>
      <c r="D50" s="232" t="s">
        <v>4</v>
      </c>
      <c r="E50" s="232" t="s">
        <v>5</v>
      </c>
      <c r="F50" s="233" t="s">
        <v>6</v>
      </c>
      <c r="G50" s="402" t="s">
        <v>7</v>
      </c>
      <c r="H50" s="432" t="s">
        <v>8</v>
      </c>
      <c r="I50" s="378" t="s">
        <v>9</v>
      </c>
      <c r="J50" s="237" t="s">
        <v>90</v>
      </c>
      <c r="K50" s="231"/>
      <c r="L50" s="231"/>
    </row>
    <row r="51">
      <c r="A51" s="238">
        <v>1.0</v>
      </c>
      <c r="B51" s="333"/>
      <c r="C51" s="243">
        <v>20000.0</v>
      </c>
      <c r="D51" s="433" t="s">
        <v>494</v>
      </c>
      <c r="E51" s="415">
        <v>5.5210707E8</v>
      </c>
      <c r="F51" s="258" t="s">
        <v>495</v>
      </c>
      <c r="G51" s="434"/>
      <c r="H51" s="415">
        <v>10000.0</v>
      </c>
      <c r="I51" s="272"/>
      <c r="J51" s="259">
        <v>10000.0</v>
      </c>
      <c r="K51" s="344" t="s">
        <v>25</v>
      </c>
      <c r="L51" s="240" t="s">
        <v>496</v>
      </c>
    </row>
    <row r="52">
      <c r="A52" s="246">
        <v>2.0</v>
      </c>
      <c r="B52" s="251"/>
      <c r="C52" s="243">
        <v>20000.0</v>
      </c>
      <c r="D52" s="433" t="s">
        <v>497</v>
      </c>
      <c r="E52" s="415">
        <v>5.5210707E8</v>
      </c>
      <c r="F52" s="412" t="s">
        <v>495</v>
      </c>
      <c r="G52" s="383"/>
      <c r="H52" s="306">
        <v>5000.0</v>
      </c>
      <c r="I52" s="307"/>
      <c r="J52" s="259">
        <v>5000.0</v>
      </c>
      <c r="K52" s="344" t="s">
        <v>25</v>
      </c>
      <c r="L52" s="240" t="s">
        <v>496</v>
      </c>
    </row>
    <row r="53">
      <c r="A53" s="238">
        <v>3.0</v>
      </c>
      <c r="B53" s="251">
        <v>46181.0</v>
      </c>
      <c r="C53" s="272">
        <v>10000.0</v>
      </c>
      <c r="D53" s="345" t="s">
        <v>498</v>
      </c>
      <c r="E53" s="258">
        <v>7.9268600607E10</v>
      </c>
      <c r="F53" s="343">
        <v>7.9260818907E10</v>
      </c>
      <c r="G53" s="390"/>
      <c r="H53" s="258">
        <v>10000.0</v>
      </c>
      <c r="I53" s="307"/>
      <c r="J53" s="247"/>
      <c r="K53" s="344" t="s">
        <v>25</v>
      </c>
      <c r="L53" s="231"/>
    </row>
    <row r="54">
      <c r="A54" s="246">
        <v>4.0</v>
      </c>
      <c r="B54" s="256">
        <v>46178.0</v>
      </c>
      <c r="C54" s="243">
        <v>8000.0</v>
      </c>
      <c r="D54" s="273" t="s">
        <v>499</v>
      </c>
      <c r="E54" s="258" t="s">
        <v>500</v>
      </c>
      <c r="F54" s="258">
        <v>9.96556417541E11</v>
      </c>
      <c r="G54" s="435">
        <v>16.0</v>
      </c>
      <c r="H54" s="258">
        <v>20000.0</v>
      </c>
      <c r="I54" s="307"/>
      <c r="J54" s="247"/>
      <c r="K54" s="436" t="s">
        <v>32</v>
      </c>
      <c r="L54" s="231"/>
    </row>
    <row r="55">
      <c r="A55" s="238">
        <v>5.0</v>
      </c>
      <c r="B55" s="272"/>
      <c r="C55" s="272">
        <v>20000.0</v>
      </c>
      <c r="D55" s="340" t="s">
        <v>501</v>
      </c>
      <c r="E55" s="306"/>
      <c r="F55" s="258">
        <v>7.72493778E8</v>
      </c>
      <c r="G55" s="383"/>
      <c r="H55" s="306">
        <v>10000.0</v>
      </c>
      <c r="I55" s="307"/>
      <c r="J55" s="247"/>
      <c r="K55" s="240" t="s">
        <v>193</v>
      </c>
      <c r="L55" s="240" t="s">
        <v>502</v>
      </c>
      <c r="M55" s="30" t="s">
        <v>503</v>
      </c>
    </row>
    <row r="56">
      <c r="A56" s="246">
        <v>6.0</v>
      </c>
      <c r="B56" s="256">
        <v>46178.0</v>
      </c>
      <c r="C56" s="243">
        <v>8000.0</v>
      </c>
      <c r="D56" s="379" t="s">
        <v>504</v>
      </c>
      <c r="E56" s="306" t="s">
        <v>505</v>
      </c>
      <c r="F56" s="258" t="s">
        <v>506</v>
      </c>
      <c r="G56" s="390">
        <v>2011.0</v>
      </c>
      <c r="H56" s="306">
        <v>20000.0</v>
      </c>
      <c r="I56" s="307"/>
      <c r="J56" s="247"/>
      <c r="K56" s="437" t="s">
        <v>32</v>
      </c>
      <c r="L56" s="231"/>
    </row>
    <row r="57">
      <c r="A57" s="238">
        <v>7.0</v>
      </c>
      <c r="B57" s="438">
        <v>46182.0</v>
      </c>
      <c r="C57" s="439">
        <v>1000.0</v>
      </c>
      <c r="D57" s="440" t="s">
        <v>507</v>
      </c>
      <c r="E57" s="441" t="s">
        <v>508</v>
      </c>
      <c r="F57" s="441" t="s">
        <v>509</v>
      </c>
      <c r="G57" s="442">
        <v>2007.0</v>
      </c>
      <c r="H57" s="443">
        <v>10000.0</v>
      </c>
      <c r="I57" s="421"/>
      <c r="J57" s="422"/>
      <c r="K57" s="444" t="s">
        <v>32</v>
      </c>
      <c r="L57" s="231"/>
    </row>
    <row r="58">
      <c r="A58" s="246">
        <v>8.0</v>
      </c>
      <c r="B58" s="416"/>
      <c r="C58" s="417"/>
      <c r="D58" s="405" t="s">
        <v>492</v>
      </c>
      <c r="E58" s="419"/>
      <c r="F58" s="419"/>
      <c r="G58" s="420"/>
      <c r="H58" s="419"/>
      <c r="I58" s="421"/>
      <c r="J58" s="422"/>
      <c r="K58" s="240" t="s">
        <v>193</v>
      </c>
      <c r="L58" s="231"/>
    </row>
    <row r="59">
      <c r="A59" s="238">
        <v>9.0</v>
      </c>
      <c r="B59" s="251">
        <v>46182.0</v>
      </c>
      <c r="C59" s="272">
        <v>10000.0</v>
      </c>
      <c r="D59" s="379" t="s">
        <v>510</v>
      </c>
      <c r="E59" s="258">
        <v>5.53910106E8</v>
      </c>
      <c r="F59" s="258">
        <v>5.58850191E8</v>
      </c>
      <c r="G59" s="383"/>
      <c r="H59" s="258">
        <v>10000.0</v>
      </c>
      <c r="I59" s="307"/>
      <c r="J59" s="247"/>
      <c r="K59" s="344" t="s">
        <v>511</v>
      </c>
      <c r="L59" s="231"/>
    </row>
    <row r="60">
      <c r="A60" s="246">
        <v>10.0</v>
      </c>
      <c r="B60" s="251">
        <v>46181.0</v>
      </c>
      <c r="C60" s="272">
        <v>10000.0</v>
      </c>
      <c r="D60" s="445" t="s">
        <v>512</v>
      </c>
      <c r="E60" s="341">
        <v>5.57022099E8</v>
      </c>
      <c r="F60" s="258">
        <v>5.5899201E8</v>
      </c>
      <c r="G60" s="258"/>
      <c r="H60" s="304">
        <v>10000.0</v>
      </c>
      <c r="I60" s="245"/>
      <c r="J60" s="255"/>
      <c r="K60" s="446" t="s">
        <v>74</v>
      </c>
      <c r="L60" s="231"/>
      <c r="M60" s="30" t="s">
        <v>513</v>
      </c>
    </row>
    <row r="61">
      <c r="A61" s="238">
        <v>11.0</v>
      </c>
      <c r="B61" s="251">
        <v>46188.0</v>
      </c>
      <c r="C61" s="272" t="s">
        <v>514</v>
      </c>
      <c r="D61" s="273" t="s">
        <v>515</v>
      </c>
      <c r="E61" s="258"/>
      <c r="F61" s="258" t="s">
        <v>516</v>
      </c>
      <c r="G61" s="383"/>
      <c r="H61" s="258"/>
      <c r="I61" s="307"/>
      <c r="J61" s="247"/>
      <c r="K61" s="437" t="s">
        <v>32</v>
      </c>
      <c r="L61" s="231"/>
    </row>
    <row r="62">
      <c r="A62" s="246">
        <v>12.0</v>
      </c>
      <c r="B62" s="251">
        <v>46182.0</v>
      </c>
      <c r="C62" s="408">
        <v>10000.0</v>
      </c>
      <c r="D62" s="253" t="s">
        <v>517</v>
      </c>
      <c r="E62" s="336">
        <v>7.55704006E8</v>
      </c>
      <c r="F62" s="336"/>
      <c r="G62" s="423"/>
      <c r="H62" s="336">
        <v>10000.0</v>
      </c>
      <c r="I62" s="338"/>
      <c r="J62" s="409"/>
      <c r="K62" s="344" t="s">
        <v>74</v>
      </c>
      <c r="L62" s="231"/>
    </row>
    <row r="63">
      <c r="A63" s="238">
        <v>13.0</v>
      </c>
      <c r="B63" s="334"/>
      <c r="C63" s="272"/>
      <c r="D63" s="273" t="s">
        <v>518</v>
      </c>
      <c r="E63" s="258"/>
      <c r="F63" s="258"/>
      <c r="G63" s="383"/>
      <c r="H63" s="258"/>
      <c r="I63" s="307"/>
      <c r="J63" s="247"/>
      <c r="K63" s="240" t="s">
        <v>193</v>
      </c>
      <c r="L63" s="231"/>
    </row>
    <row r="64">
      <c r="A64" s="246">
        <v>14.0</v>
      </c>
      <c r="B64" s="251"/>
      <c r="C64" s="318">
        <v>10000.0</v>
      </c>
      <c r="D64" s="273" t="s">
        <v>519</v>
      </c>
      <c r="E64" s="320"/>
      <c r="F64" s="320"/>
      <c r="G64" s="447"/>
      <c r="H64" s="258">
        <v>10000.0</v>
      </c>
      <c r="I64" s="448"/>
      <c r="J64" s="324"/>
      <c r="K64" s="240" t="s">
        <v>193</v>
      </c>
      <c r="L64" s="231"/>
    </row>
    <row r="65">
      <c r="A65" s="238">
        <v>15.0</v>
      </c>
      <c r="B65" s="317"/>
      <c r="C65" s="305"/>
      <c r="D65" s="273" t="s">
        <v>520</v>
      </c>
      <c r="E65" s="305"/>
      <c r="F65" s="305"/>
      <c r="G65" s="305"/>
      <c r="H65" s="258">
        <v>8000.0</v>
      </c>
      <c r="I65" s="305"/>
      <c r="J65" s="305"/>
      <c r="K65" s="240" t="s">
        <v>193</v>
      </c>
      <c r="L65" s="231"/>
    </row>
    <row r="66">
      <c r="A66" s="246">
        <v>16.0</v>
      </c>
      <c r="B66" s="305"/>
      <c r="C66" s="305"/>
      <c r="D66" s="379" t="s">
        <v>473</v>
      </c>
      <c r="E66" s="305"/>
      <c r="F66" s="305"/>
      <c r="G66" s="305"/>
      <c r="H66" s="258"/>
      <c r="I66" s="305"/>
      <c r="J66" s="305"/>
      <c r="K66" s="240"/>
      <c r="L66" s="389"/>
      <c r="M66" s="250"/>
      <c r="N66" s="250"/>
      <c r="O66" s="250"/>
    </row>
    <row r="67">
      <c r="A67" s="231"/>
      <c r="B67" s="231"/>
      <c r="C67" s="231"/>
      <c r="D67" s="240"/>
      <c r="E67" s="231"/>
      <c r="F67" s="231"/>
      <c r="G67" s="231"/>
      <c r="H67" s="231"/>
      <c r="I67" s="231"/>
      <c r="J67" s="231"/>
      <c r="K67" s="231"/>
      <c r="L67" s="389"/>
      <c r="M67" s="250"/>
      <c r="N67" s="250"/>
      <c r="O67" s="250"/>
      <c r="P67" s="250"/>
      <c r="Q67" s="250"/>
      <c r="R67" s="250"/>
    </row>
    <row r="68">
      <c r="L68" s="250"/>
      <c r="M68" s="250"/>
      <c r="N68" s="250"/>
      <c r="O68" s="449"/>
      <c r="P68" s="250"/>
      <c r="Q68" s="250"/>
      <c r="R68" s="250"/>
    </row>
    <row r="69">
      <c r="L69" s="250"/>
      <c r="M69" s="250"/>
      <c r="N69" s="250"/>
      <c r="O69" s="250"/>
      <c r="P69" s="250"/>
      <c r="Q69" s="250"/>
      <c r="R69" s="250"/>
    </row>
    <row r="70">
      <c r="L70" s="250"/>
      <c r="M70" s="250"/>
      <c r="N70" s="250"/>
      <c r="O70" s="250"/>
      <c r="P70" s="250"/>
      <c r="Q70" s="250"/>
      <c r="R70" s="250"/>
    </row>
    <row r="71">
      <c r="A71" s="228" t="s">
        <v>521</v>
      </c>
      <c r="B71" s="172"/>
      <c r="C71" s="172"/>
      <c r="D71" s="172"/>
      <c r="E71" s="172"/>
      <c r="F71" s="172"/>
      <c r="G71" s="172"/>
      <c r="H71" s="172"/>
      <c r="I71" s="172"/>
      <c r="J71" s="173"/>
      <c r="K71" s="229">
        <f>SUM(H73:H85)</f>
        <v>85000</v>
      </c>
      <c r="L71" s="450" t="s">
        <v>86</v>
      </c>
      <c r="M71" s="250"/>
      <c r="N71" s="451"/>
      <c r="O71" s="449"/>
      <c r="P71" s="449"/>
      <c r="Q71" s="250"/>
      <c r="R71" s="250"/>
    </row>
    <row r="72">
      <c r="A72" s="375" t="s">
        <v>1</v>
      </c>
      <c r="B72" s="375" t="s">
        <v>2</v>
      </c>
      <c r="C72" s="375" t="s">
        <v>3</v>
      </c>
      <c r="D72" s="375" t="s">
        <v>4</v>
      </c>
      <c r="E72" s="375" t="s">
        <v>5</v>
      </c>
      <c r="F72" s="376" t="s">
        <v>6</v>
      </c>
      <c r="G72" s="377" t="s">
        <v>7</v>
      </c>
      <c r="H72" s="359" t="s">
        <v>8</v>
      </c>
      <c r="I72" s="378" t="s">
        <v>9</v>
      </c>
      <c r="J72" s="237" t="s">
        <v>49</v>
      </c>
      <c r="L72" s="452"/>
      <c r="M72" s="250"/>
      <c r="N72" s="250"/>
      <c r="O72" s="250"/>
      <c r="P72" s="250"/>
      <c r="Q72" s="250"/>
      <c r="R72" s="250"/>
    </row>
    <row r="73">
      <c r="A73" s="238">
        <v>1.0</v>
      </c>
      <c r="B73" s="239">
        <v>46191.0</v>
      </c>
      <c r="C73" s="243">
        <v>10000.0</v>
      </c>
      <c r="D73" s="379" t="s">
        <v>522</v>
      </c>
      <c r="E73" s="359" t="s">
        <v>523</v>
      </c>
      <c r="F73" s="258" t="s">
        <v>524</v>
      </c>
      <c r="G73" s="434">
        <v>2012.0</v>
      </c>
      <c r="H73" s="306">
        <v>10000.0</v>
      </c>
      <c r="I73" s="272"/>
      <c r="J73" s="247"/>
      <c r="K73" s="248"/>
      <c r="L73" s="453" t="s">
        <v>32</v>
      </c>
      <c r="M73" s="250"/>
      <c r="N73" s="250"/>
      <c r="O73" s="250"/>
      <c r="P73" s="250"/>
      <c r="Q73" s="250"/>
      <c r="R73" s="250"/>
    </row>
    <row r="74">
      <c r="A74" s="238">
        <v>2.0</v>
      </c>
      <c r="B74" s="251">
        <v>46196.0</v>
      </c>
      <c r="C74" s="243">
        <v>18000.0</v>
      </c>
      <c r="D74" s="379" t="s">
        <v>525</v>
      </c>
      <c r="E74" s="454"/>
      <c r="F74" s="258">
        <v>5.07106585E8</v>
      </c>
      <c r="G74" s="455">
        <v>40241.0</v>
      </c>
      <c r="H74" s="306">
        <v>5000.0</v>
      </c>
      <c r="I74" s="307"/>
      <c r="J74" s="247"/>
      <c r="K74" s="248"/>
      <c r="L74" s="456" t="s">
        <v>74</v>
      </c>
      <c r="M74" s="250"/>
      <c r="N74" s="250"/>
      <c r="O74" s="250"/>
      <c r="P74" s="250"/>
      <c r="Q74" s="250"/>
      <c r="R74" s="250"/>
    </row>
    <row r="75">
      <c r="A75" s="238">
        <v>3.0</v>
      </c>
      <c r="B75" s="307"/>
      <c r="C75" s="243"/>
      <c r="D75" s="379" t="s">
        <v>526</v>
      </c>
      <c r="E75" s="386"/>
      <c r="F75" s="305"/>
      <c r="G75" s="383"/>
      <c r="H75" s="306"/>
      <c r="I75" s="307"/>
      <c r="J75" s="247"/>
      <c r="K75" s="248"/>
      <c r="L75" s="457" t="s">
        <v>527</v>
      </c>
      <c r="M75" s="250"/>
      <c r="N75" s="250"/>
      <c r="O75" s="250"/>
      <c r="P75" s="250"/>
      <c r="Q75" s="250"/>
      <c r="R75" s="250"/>
    </row>
    <row r="76">
      <c r="A76" s="238">
        <v>4.0</v>
      </c>
      <c r="B76" s="251">
        <v>46196.0</v>
      </c>
      <c r="C76" s="243">
        <v>18000.0</v>
      </c>
      <c r="D76" s="379" t="s">
        <v>528</v>
      </c>
      <c r="E76" s="360">
        <v>7.77071729E8</v>
      </c>
      <c r="F76" s="240">
        <v>7.72291729E8</v>
      </c>
      <c r="G76" s="383"/>
      <c r="H76" s="306">
        <v>10000.0</v>
      </c>
      <c r="I76" s="307"/>
      <c r="J76" s="259"/>
      <c r="K76" s="248"/>
      <c r="L76" s="456" t="s">
        <v>74</v>
      </c>
      <c r="M76" s="250"/>
      <c r="N76" s="250"/>
      <c r="O76" s="250"/>
      <c r="P76" s="250"/>
      <c r="Q76" s="250"/>
      <c r="R76" s="250"/>
    </row>
    <row r="77">
      <c r="A77" s="238">
        <v>5.0</v>
      </c>
      <c r="B77" s="251">
        <v>46196.0</v>
      </c>
      <c r="C77" s="243">
        <v>10000.0</v>
      </c>
      <c r="D77" s="379" t="s">
        <v>529</v>
      </c>
      <c r="E77" s="454" t="s">
        <v>530</v>
      </c>
      <c r="F77" s="258" t="s">
        <v>531</v>
      </c>
      <c r="G77" s="383"/>
      <c r="H77" s="306">
        <v>10000.0</v>
      </c>
      <c r="I77" s="307"/>
      <c r="J77" s="247"/>
      <c r="K77" s="248"/>
      <c r="L77" s="457" t="s">
        <v>32</v>
      </c>
      <c r="M77" s="250"/>
      <c r="N77" s="250"/>
      <c r="O77" s="250"/>
      <c r="P77" s="250"/>
      <c r="Q77" s="250"/>
      <c r="R77" s="250"/>
    </row>
    <row r="78">
      <c r="A78" s="238">
        <v>6.0</v>
      </c>
      <c r="B78" s="349">
        <v>46196.0</v>
      </c>
      <c r="C78" s="258">
        <v>10000.0</v>
      </c>
      <c r="D78" s="273" t="s">
        <v>532</v>
      </c>
      <c r="E78" s="458">
        <v>9.95210508E8</v>
      </c>
      <c r="F78" s="258" t="s">
        <v>531</v>
      </c>
      <c r="G78" s="258"/>
      <c r="H78" s="258">
        <v>5000.0</v>
      </c>
      <c r="I78" s="305"/>
      <c r="J78" s="305"/>
      <c r="K78" s="240"/>
      <c r="L78" s="456" t="s">
        <v>74</v>
      </c>
      <c r="M78" s="250"/>
      <c r="N78" s="250"/>
      <c r="O78" s="250"/>
      <c r="P78" s="250"/>
      <c r="Q78" s="250"/>
      <c r="R78" s="250"/>
    </row>
    <row r="79">
      <c r="A79" s="238">
        <v>7.0</v>
      </c>
      <c r="B79" s="251"/>
      <c r="C79" s="243"/>
      <c r="D79" s="379" t="s">
        <v>533</v>
      </c>
      <c r="E79" s="454"/>
      <c r="F79" s="305"/>
      <c r="G79" s="390"/>
      <c r="H79" s="306">
        <v>10000.0</v>
      </c>
      <c r="I79" s="307"/>
      <c r="J79" s="247"/>
      <c r="K79" s="248"/>
      <c r="L79" s="457" t="s">
        <v>193</v>
      </c>
      <c r="M79" s="250"/>
      <c r="N79" s="250"/>
      <c r="O79" s="250"/>
      <c r="P79" s="250"/>
      <c r="Q79" s="250"/>
      <c r="R79" s="250"/>
    </row>
    <row r="80">
      <c r="A80" s="238">
        <v>8.0</v>
      </c>
      <c r="B80" s="251">
        <v>46202.0</v>
      </c>
      <c r="C80" s="272">
        <v>10000.0</v>
      </c>
      <c r="D80" s="273" t="s">
        <v>534</v>
      </c>
      <c r="E80" s="359">
        <v>9.96770362601E11</v>
      </c>
      <c r="F80" s="258" t="s">
        <v>535</v>
      </c>
      <c r="G80" s="455">
        <v>40753.0</v>
      </c>
      <c r="H80" s="258">
        <v>10000.0</v>
      </c>
      <c r="I80" s="307"/>
      <c r="J80" s="247"/>
      <c r="K80" s="248"/>
      <c r="L80" s="456" t="s">
        <v>74</v>
      </c>
      <c r="M80" s="250"/>
      <c r="N80" s="250"/>
      <c r="O80" s="250"/>
      <c r="P80" s="250"/>
      <c r="Q80" s="250"/>
      <c r="R80" s="250"/>
    </row>
    <row r="81">
      <c r="A81" s="238">
        <v>9.0</v>
      </c>
      <c r="B81" s="251">
        <v>46198.0</v>
      </c>
      <c r="C81" s="272">
        <v>9000.0</v>
      </c>
      <c r="D81" s="273" t="s">
        <v>536</v>
      </c>
      <c r="E81" s="359" t="s">
        <v>537</v>
      </c>
      <c r="F81" s="343" t="s">
        <v>537</v>
      </c>
      <c r="G81" s="390"/>
      <c r="H81" s="258">
        <v>10000.0</v>
      </c>
      <c r="I81" s="307"/>
      <c r="J81" s="259"/>
      <c r="K81" s="248"/>
      <c r="L81" s="457" t="s">
        <v>32</v>
      </c>
      <c r="M81" s="250"/>
      <c r="N81" s="250"/>
      <c r="O81" s="250"/>
      <c r="P81" s="250"/>
      <c r="Q81" s="250"/>
      <c r="R81" s="250"/>
    </row>
    <row r="82">
      <c r="A82" s="238">
        <v>10.0</v>
      </c>
      <c r="B82" s="251">
        <v>46198.0</v>
      </c>
      <c r="C82" s="272">
        <v>10000.0</v>
      </c>
      <c r="D82" s="273" t="s">
        <v>538</v>
      </c>
      <c r="E82" s="359" t="s">
        <v>539</v>
      </c>
      <c r="F82" s="258" t="s">
        <v>539</v>
      </c>
      <c r="G82" s="383"/>
      <c r="H82" s="258">
        <v>5000.0</v>
      </c>
      <c r="I82" s="307"/>
      <c r="J82" s="247"/>
      <c r="K82" s="248"/>
      <c r="L82" s="457" t="s">
        <v>20</v>
      </c>
      <c r="M82" s="250"/>
      <c r="N82" s="250"/>
      <c r="O82" s="250"/>
      <c r="P82" s="250"/>
      <c r="Q82" s="250"/>
      <c r="R82" s="250"/>
    </row>
    <row r="83">
      <c r="A83" s="238">
        <v>11.0</v>
      </c>
      <c r="B83" s="251"/>
      <c r="C83" s="272"/>
      <c r="D83" s="91" t="s">
        <v>540</v>
      </c>
      <c r="E83" s="359"/>
      <c r="F83" s="258"/>
      <c r="G83" s="383"/>
      <c r="H83" s="258"/>
      <c r="I83" s="307"/>
      <c r="J83" s="247"/>
      <c r="K83" s="248"/>
      <c r="L83" s="457" t="s">
        <v>527</v>
      </c>
      <c r="M83" s="250"/>
      <c r="N83" s="250"/>
      <c r="O83" s="250"/>
      <c r="P83" s="250"/>
      <c r="Q83" s="250"/>
      <c r="R83" s="250"/>
    </row>
    <row r="84">
      <c r="A84" s="238">
        <v>12.0</v>
      </c>
      <c r="B84" s="256"/>
      <c r="C84" s="272"/>
      <c r="D84" s="273" t="s">
        <v>541</v>
      </c>
      <c r="E84" s="359" t="s">
        <v>542</v>
      </c>
      <c r="F84" s="258"/>
      <c r="G84" s="383"/>
      <c r="H84" s="258">
        <v>10000.0</v>
      </c>
      <c r="I84" s="307"/>
      <c r="J84" s="247"/>
      <c r="K84" s="248"/>
      <c r="L84" s="457" t="s">
        <v>32</v>
      </c>
      <c r="M84" s="250"/>
      <c r="N84" s="250"/>
      <c r="O84" s="250"/>
      <c r="P84" s="250"/>
      <c r="Q84" s="250"/>
      <c r="R84" s="250"/>
    </row>
    <row r="85">
      <c r="A85" s="238">
        <v>13.0</v>
      </c>
      <c r="B85" s="395">
        <v>46199.0</v>
      </c>
      <c r="C85" s="295">
        <v>9000.0</v>
      </c>
      <c r="D85" s="277" t="s">
        <v>543</v>
      </c>
      <c r="E85" s="459" t="s">
        <v>544</v>
      </c>
      <c r="F85" s="297" t="s">
        <v>545</v>
      </c>
      <c r="G85" s="460" t="s">
        <v>546</v>
      </c>
      <c r="H85" s="258" t="s">
        <v>547</v>
      </c>
      <c r="I85" s="397"/>
      <c r="J85" s="300"/>
      <c r="K85" s="398"/>
      <c r="L85" s="457" t="s">
        <v>32</v>
      </c>
      <c r="M85" s="250"/>
      <c r="N85" s="250"/>
      <c r="O85" s="250"/>
      <c r="P85" s="250"/>
      <c r="Q85" s="250"/>
      <c r="R85" s="250"/>
    </row>
    <row r="86">
      <c r="A86" s="238">
        <v>14.0</v>
      </c>
      <c r="B86" s="461">
        <v>46204.0</v>
      </c>
      <c r="C86" s="462">
        <v>10000.0</v>
      </c>
      <c r="D86" s="359" t="s">
        <v>548</v>
      </c>
      <c r="E86" s="459">
        <v>7.9533660829E10</v>
      </c>
      <c r="F86" s="459" t="s">
        <v>549</v>
      </c>
      <c r="G86" s="463"/>
      <c r="H86" s="359">
        <v>9000.0</v>
      </c>
      <c r="I86" s="464">
        <v>0.1</v>
      </c>
      <c r="J86" s="465"/>
      <c r="K86" s="466"/>
      <c r="L86" s="467" t="s">
        <v>280</v>
      </c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</row>
    <row r="87">
      <c r="A87" s="238">
        <v>15.0</v>
      </c>
      <c r="B87" s="468">
        <v>46202.0</v>
      </c>
      <c r="C87" s="54">
        <v>10000.0</v>
      </c>
      <c r="D87" s="469" t="s">
        <v>550</v>
      </c>
      <c r="E87" s="21" t="s">
        <v>551</v>
      </c>
      <c r="F87" s="470" t="s">
        <v>552</v>
      </c>
      <c r="G87" s="109"/>
      <c r="H87" s="471">
        <v>10000.0</v>
      </c>
      <c r="I87" s="109"/>
      <c r="J87" s="109"/>
      <c r="K87" s="248"/>
      <c r="L87" s="457" t="s">
        <v>20</v>
      </c>
      <c r="M87" s="250"/>
      <c r="N87" s="250"/>
      <c r="O87" s="250"/>
      <c r="P87" s="250"/>
      <c r="Q87" s="250"/>
      <c r="R87" s="250"/>
    </row>
    <row r="88">
      <c r="D88" s="301"/>
      <c r="E88" s="301"/>
      <c r="M88" s="250"/>
      <c r="N88" s="250"/>
      <c r="O88" s="250"/>
      <c r="P88" s="250"/>
      <c r="Q88" s="250"/>
      <c r="R88" s="250"/>
    </row>
    <row r="89">
      <c r="D89" s="301"/>
      <c r="E89" s="250"/>
      <c r="M89" s="250"/>
      <c r="N89" s="250"/>
      <c r="O89" s="250"/>
      <c r="P89" s="250"/>
      <c r="Q89" s="250"/>
      <c r="R89" s="250"/>
    </row>
    <row r="90">
      <c r="D90" s="301"/>
      <c r="M90" s="250"/>
      <c r="N90" s="250"/>
      <c r="O90" s="250"/>
      <c r="P90" s="250"/>
      <c r="Q90" s="250"/>
      <c r="R90" s="250"/>
    </row>
    <row r="91">
      <c r="D91" s="301" t="s">
        <v>553</v>
      </c>
      <c r="M91" s="250"/>
      <c r="N91" s="250"/>
      <c r="O91" s="250"/>
      <c r="P91" s="250"/>
      <c r="Q91" s="250"/>
      <c r="R91" s="250"/>
    </row>
    <row r="92">
      <c r="D92" s="30" t="s">
        <v>554</v>
      </c>
      <c r="M92" s="250"/>
      <c r="N92" s="250"/>
      <c r="O92" s="250"/>
      <c r="P92" s="250"/>
      <c r="Q92" s="250"/>
      <c r="R92" s="250"/>
    </row>
    <row r="93">
      <c r="F93" s="331" t="s">
        <v>555</v>
      </c>
      <c r="M93" s="250"/>
      <c r="N93" s="250"/>
      <c r="O93" s="250"/>
      <c r="P93" s="250"/>
      <c r="Q93" s="250"/>
      <c r="R93" s="250"/>
    </row>
    <row r="94">
      <c r="D94" s="30"/>
      <c r="F94" s="331" t="s">
        <v>556</v>
      </c>
      <c r="I94" s="250"/>
      <c r="J94" s="250"/>
      <c r="K94" s="301"/>
      <c r="L94" s="250"/>
      <c r="M94" s="250"/>
      <c r="N94" s="250"/>
      <c r="O94" s="250"/>
      <c r="P94" s="250"/>
      <c r="Q94" s="250"/>
      <c r="R94" s="250"/>
    </row>
    <row r="95">
      <c r="I95" s="250"/>
      <c r="J95" s="250"/>
      <c r="K95" s="301"/>
      <c r="L95" s="250"/>
      <c r="M95" s="250"/>
    </row>
    <row r="96">
      <c r="I96" s="250"/>
      <c r="J96" s="250"/>
      <c r="K96" s="250"/>
      <c r="L96" s="250"/>
      <c r="M96" s="250"/>
    </row>
    <row r="97">
      <c r="I97" s="250"/>
      <c r="J97" s="250"/>
      <c r="K97" s="250"/>
      <c r="L97" s="250"/>
      <c r="M97" s="250"/>
    </row>
  </sheetData>
  <mergeCells count="8">
    <mergeCell ref="A2:J2"/>
    <mergeCell ref="K2:K3"/>
    <mergeCell ref="A23:J23"/>
    <mergeCell ref="K23:K24"/>
    <mergeCell ref="A49:J49"/>
    <mergeCell ref="A71:J71"/>
    <mergeCell ref="K71:K72"/>
    <mergeCell ref="L23:L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5"/>
    <col customWidth="1" min="3" max="3" width="10.5"/>
    <col customWidth="1" min="4" max="4" width="23.75"/>
    <col customWidth="1" min="5" max="5" width="28.75"/>
    <col customWidth="1" min="6" max="6" width="44.63"/>
    <col customWidth="1" min="7" max="7" width="16.38"/>
    <col customWidth="1" min="11" max="11" width="22.63"/>
    <col customWidth="1" min="12" max="12" width="19.0"/>
  </cols>
  <sheetData>
    <row r="1">
      <c r="B1" s="30"/>
      <c r="C1" s="30"/>
    </row>
    <row r="2" ht="27.0" customHeight="1">
      <c r="A2" s="228" t="s">
        <v>557</v>
      </c>
      <c r="B2" s="172"/>
      <c r="C2" s="172"/>
      <c r="D2" s="172"/>
      <c r="E2" s="172"/>
      <c r="F2" s="172"/>
      <c r="G2" s="172"/>
      <c r="H2" s="172"/>
      <c r="I2" s="172"/>
      <c r="J2" s="173"/>
      <c r="K2" s="229">
        <f>SUM(H4:H18)</f>
        <v>152000</v>
      </c>
      <c r="L2" s="472" t="s">
        <v>275</v>
      </c>
    </row>
    <row r="3">
      <c r="A3" s="232" t="s">
        <v>1</v>
      </c>
      <c r="B3" s="232" t="s">
        <v>2</v>
      </c>
      <c r="C3" s="232" t="s">
        <v>3</v>
      </c>
      <c r="D3" s="232" t="s">
        <v>4</v>
      </c>
      <c r="E3" s="232" t="s">
        <v>5</v>
      </c>
      <c r="F3" s="233" t="s">
        <v>6</v>
      </c>
      <c r="G3" s="234" t="s">
        <v>7</v>
      </c>
      <c r="H3" s="235" t="s">
        <v>8</v>
      </c>
      <c r="I3" s="236" t="s">
        <v>9</v>
      </c>
      <c r="J3" s="237" t="s">
        <v>49</v>
      </c>
    </row>
    <row r="4">
      <c r="A4" s="238">
        <v>1.0</v>
      </c>
      <c r="B4" s="349">
        <v>46172.0</v>
      </c>
      <c r="C4" s="258">
        <v>10000.0</v>
      </c>
      <c r="D4" s="273" t="s">
        <v>558</v>
      </c>
      <c r="E4" s="258" t="s">
        <v>559</v>
      </c>
      <c r="F4" s="258" t="s">
        <v>560</v>
      </c>
      <c r="G4" s="305"/>
      <c r="H4" s="258">
        <v>10000.0</v>
      </c>
      <c r="I4" s="305"/>
      <c r="J4" s="305"/>
      <c r="K4" s="231"/>
      <c r="L4" s="231"/>
    </row>
    <row r="5">
      <c r="A5" s="246">
        <v>2.0</v>
      </c>
      <c r="B5" s="251">
        <v>46161.0</v>
      </c>
      <c r="C5" s="382">
        <v>8000.0</v>
      </c>
      <c r="D5" s="273" t="s">
        <v>561</v>
      </c>
      <c r="E5" s="258" t="s">
        <v>562</v>
      </c>
      <c r="F5" s="258" t="s">
        <v>563</v>
      </c>
      <c r="G5" s="254"/>
      <c r="H5" s="258">
        <v>24000.0</v>
      </c>
      <c r="I5" s="255"/>
      <c r="J5" s="247"/>
      <c r="K5" s="231"/>
      <c r="L5" s="240" t="s">
        <v>20</v>
      </c>
    </row>
    <row r="6">
      <c r="A6" s="274">
        <v>3.0</v>
      </c>
      <c r="B6" s="316">
        <v>46162.0</v>
      </c>
      <c r="C6" s="313">
        <v>10000.0</v>
      </c>
      <c r="D6" s="277" t="s">
        <v>564</v>
      </c>
      <c r="E6" s="277">
        <v>7.90990486E10</v>
      </c>
      <c r="F6" s="277" t="s">
        <v>565</v>
      </c>
      <c r="G6" s="278"/>
      <c r="H6" s="277">
        <v>10000.0</v>
      </c>
      <c r="I6" s="280"/>
      <c r="J6" s="281"/>
      <c r="K6" s="230" t="s">
        <v>566</v>
      </c>
      <c r="L6" s="230" t="s">
        <v>20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>
      <c r="A7" s="246">
        <v>4.0</v>
      </c>
      <c r="B7" s="256">
        <v>46162.0</v>
      </c>
      <c r="C7" s="243">
        <v>10000.0</v>
      </c>
      <c r="D7" s="257" t="s">
        <v>567</v>
      </c>
      <c r="E7" s="258" t="s">
        <v>568</v>
      </c>
      <c r="F7" s="258" t="s">
        <v>569</v>
      </c>
      <c r="G7" s="254"/>
      <c r="H7" s="258">
        <v>10000.0</v>
      </c>
      <c r="I7" s="246"/>
      <c r="J7" s="259"/>
      <c r="K7" s="240"/>
      <c r="L7" s="436" t="s">
        <v>32</v>
      </c>
    </row>
    <row r="8">
      <c r="A8" s="238">
        <v>5.0</v>
      </c>
      <c r="B8" s="251">
        <v>46163.0</v>
      </c>
      <c r="C8" s="243">
        <v>8000.0</v>
      </c>
      <c r="D8" s="257" t="s">
        <v>570</v>
      </c>
      <c r="E8" s="258"/>
      <c r="F8" s="258"/>
      <c r="G8" s="254"/>
      <c r="H8" s="258">
        <v>24000.0</v>
      </c>
      <c r="I8" s="255"/>
      <c r="J8" s="247"/>
      <c r="K8" s="240" t="s">
        <v>450</v>
      </c>
      <c r="L8" s="240" t="s">
        <v>193</v>
      </c>
    </row>
    <row r="9">
      <c r="A9" s="246">
        <v>6.0</v>
      </c>
      <c r="B9" s="473">
        <v>46164.0</v>
      </c>
      <c r="C9" s="313">
        <v>10000.0</v>
      </c>
      <c r="D9" s="427" t="s">
        <v>571</v>
      </c>
      <c r="E9" s="258"/>
      <c r="F9" s="258"/>
      <c r="G9" s="254"/>
      <c r="H9" s="258"/>
      <c r="I9" s="255"/>
      <c r="J9" s="247"/>
      <c r="K9" s="230" t="s">
        <v>572</v>
      </c>
      <c r="L9" s="240" t="s">
        <v>193</v>
      </c>
    </row>
    <row r="10">
      <c r="A10" s="238">
        <v>7.0</v>
      </c>
      <c r="B10" s="256">
        <v>46168.0</v>
      </c>
      <c r="C10" s="243">
        <v>8000.0</v>
      </c>
      <c r="D10" s="474" t="s">
        <v>573</v>
      </c>
      <c r="E10" s="258">
        <f>996227611061</f>
        <v>996227611061</v>
      </c>
      <c r="F10" s="258">
        <f>996704170485</f>
        <v>996704170485</v>
      </c>
      <c r="G10" s="254"/>
      <c r="H10" s="258">
        <v>24000.0</v>
      </c>
      <c r="I10" s="255"/>
      <c r="J10" s="247"/>
      <c r="K10" s="231"/>
      <c r="L10" s="436" t="s">
        <v>32</v>
      </c>
    </row>
    <row r="11">
      <c r="A11" s="246">
        <v>8.0</v>
      </c>
      <c r="B11" s="256">
        <v>46170.0</v>
      </c>
      <c r="C11" s="243">
        <v>10000.0</v>
      </c>
      <c r="D11" s="257" t="s">
        <v>574</v>
      </c>
      <c r="E11" s="258">
        <v>2.2211E8</v>
      </c>
      <c r="F11" s="258">
        <v>2.22110001E8</v>
      </c>
      <c r="G11" s="254"/>
      <c r="H11" s="336">
        <v>10000.0</v>
      </c>
      <c r="I11" s="255"/>
      <c r="J11" s="247"/>
      <c r="K11" s="240" t="s">
        <v>575</v>
      </c>
      <c r="L11" s="344" t="s">
        <v>74</v>
      </c>
    </row>
    <row r="12">
      <c r="A12" s="238">
        <v>9.0</v>
      </c>
      <c r="B12" s="256">
        <v>46170.0</v>
      </c>
      <c r="C12" s="243">
        <v>10000.0</v>
      </c>
      <c r="D12" s="273" t="s">
        <v>576</v>
      </c>
      <c r="E12" s="258">
        <v>2.2211E8</v>
      </c>
      <c r="F12" s="258">
        <v>2.22110001E8</v>
      </c>
      <c r="G12" s="254"/>
      <c r="H12" s="336">
        <v>10000.0</v>
      </c>
      <c r="I12" s="246"/>
      <c r="J12" s="247"/>
      <c r="K12" s="240" t="s">
        <v>577</v>
      </c>
      <c r="L12" s="344" t="s">
        <v>74</v>
      </c>
    </row>
    <row r="13">
      <c r="A13" s="246">
        <v>10.0</v>
      </c>
      <c r="B13" s="256">
        <v>46170.0</v>
      </c>
      <c r="C13" s="243">
        <v>10000.0</v>
      </c>
      <c r="D13" s="273" t="s">
        <v>578</v>
      </c>
      <c r="E13" s="258">
        <v>5.56272779E8</v>
      </c>
      <c r="F13" s="258"/>
      <c r="G13" s="254"/>
      <c r="H13" s="258">
        <v>10000.0</v>
      </c>
      <c r="I13" s="255"/>
      <c r="J13" s="247"/>
      <c r="K13" s="231"/>
      <c r="L13" s="436" t="s">
        <v>32</v>
      </c>
    </row>
    <row r="14">
      <c r="A14" s="238">
        <v>11.0</v>
      </c>
      <c r="B14" s="307"/>
      <c r="C14" s="243">
        <v>10000.0</v>
      </c>
      <c r="D14" s="273" t="s">
        <v>579</v>
      </c>
      <c r="E14" s="258"/>
      <c r="F14" s="258"/>
      <c r="G14" s="254"/>
      <c r="H14" s="258">
        <v>2000.0</v>
      </c>
      <c r="I14" s="255"/>
      <c r="J14" s="247"/>
      <c r="K14" s="231"/>
      <c r="L14" s="240" t="s">
        <v>193</v>
      </c>
    </row>
    <row r="15" ht="20.25" customHeight="1">
      <c r="A15" s="246">
        <v>12.0</v>
      </c>
      <c r="B15" s="307"/>
      <c r="C15" s="231"/>
      <c r="D15" s="340" t="s">
        <v>580</v>
      </c>
      <c r="E15" s="258">
        <v>7.74272073E8</v>
      </c>
      <c r="F15" s="258"/>
      <c r="G15" s="254"/>
      <c r="H15" s="258"/>
      <c r="I15" s="255"/>
      <c r="J15" s="247"/>
      <c r="K15" s="231"/>
      <c r="L15" s="240" t="s">
        <v>193</v>
      </c>
    </row>
    <row r="16">
      <c r="A16" s="238">
        <v>13.0</v>
      </c>
      <c r="B16" s="307"/>
      <c r="C16" s="243">
        <v>1000.0</v>
      </c>
      <c r="D16" s="319" t="s">
        <v>581</v>
      </c>
      <c r="E16" s="258"/>
      <c r="F16" s="258"/>
      <c r="G16" s="254"/>
      <c r="H16" s="258"/>
      <c r="I16" s="255"/>
      <c r="J16" s="247"/>
      <c r="K16" s="231"/>
      <c r="L16" s="240" t="s">
        <v>193</v>
      </c>
    </row>
    <row r="17">
      <c r="A17" s="246">
        <v>14.0</v>
      </c>
      <c r="B17" s="475">
        <v>46172.0</v>
      </c>
      <c r="C17" s="476">
        <v>10000.0</v>
      </c>
      <c r="D17" s="477" t="s">
        <v>582</v>
      </c>
      <c r="E17" s="478">
        <v>5.50650033E8</v>
      </c>
      <c r="F17" s="478">
        <v>5.50650033E8</v>
      </c>
      <c r="G17" s="479"/>
      <c r="H17" s="478">
        <v>10000.0</v>
      </c>
      <c r="I17" s="480"/>
      <c r="J17" s="481"/>
      <c r="K17" s="482"/>
      <c r="L17" s="483" t="s">
        <v>74</v>
      </c>
    </row>
    <row r="18">
      <c r="A18" s="258">
        <v>15.0</v>
      </c>
      <c r="B18" s="349">
        <v>46144.0</v>
      </c>
      <c r="C18" s="484">
        <v>8000.0</v>
      </c>
      <c r="D18" s="273" t="s">
        <v>583</v>
      </c>
      <c r="E18" s="258">
        <v>5.5977722E8</v>
      </c>
      <c r="F18" s="258">
        <f>996755177577</f>
        <v>996755177577</v>
      </c>
      <c r="G18" s="305"/>
      <c r="H18" s="258">
        <v>8000.0</v>
      </c>
      <c r="I18" s="258"/>
      <c r="J18" s="305"/>
      <c r="K18" s="240" t="s">
        <v>584</v>
      </c>
      <c r="L18" s="483" t="s">
        <v>74</v>
      </c>
    </row>
    <row r="19">
      <c r="D19" s="30" t="s">
        <v>585</v>
      </c>
    </row>
    <row r="21">
      <c r="A21" s="452"/>
      <c r="B21" s="452"/>
      <c r="C21" s="452"/>
      <c r="D21" s="452"/>
      <c r="E21" s="452"/>
      <c r="F21" s="452"/>
      <c r="G21" s="452"/>
      <c r="H21" s="452"/>
      <c r="I21" s="452"/>
      <c r="J21" s="452"/>
    </row>
    <row r="22">
      <c r="A22" s="228" t="s">
        <v>586</v>
      </c>
      <c r="B22" s="172"/>
      <c r="C22" s="172"/>
      <c r="D22" s="172"/>
      <c r="E22" s="172"/>
      <c r="F22" s="172"/>
      <c r="G22" s="172"/>
      <c r="H22" s="172"/>
      <c r="I22" s="172"/>
      <c r="J22" s="173"/>
      <c r="K22" s="229">
        <f>SUM(H24:H37)</f>
        <v>164000</v>
      </c>
      <c r="L22" s="472" t="s">
        <v>275</v>
      </c>
      <c r="N22" s="30">
        <v>78.0</v>
      </c>
    </row>
    <row r="23">
      <c r="A23" s="232" t="s">
        <v>1</v>
      </c>
      <c r="B23" s="232" t="s">
        <v>2</v>
      </c>
      <c r="C23" s="232" t="s">
        <v>3</v>
      </c>
      <c r="D23" s="232" t="s">
        <v>86</v>
      </c>
      <c r="E23" s="232" t="s">
        <v>5</v>
      </c>
      <c r="F23" s="233" t="s">
        <v>6</v>
      </c>
      <c r="G23" s="234" t="s">
        <v>7</v>
      </c>
      <c r="H23" s="235" t="s">
        <v>8</v>
      </c>
      <c r="I23" s="236" t="s">
        <v>9</v>
      </c>
      <c r="J23" s="237" t="s">
        <v>49</v>
      </c>
    </row>
    <row r="24">
      <c r="A24" s="485">
        <v>1.0</v>
      </c>
      <c r="B24" s="317"/>
      <c r="C24" s="382">
        <v>9000.0</v>
      </c>
      <c r="D24" s="273" t="s">
        <v>587</v>
      </c>
      <c r="E24" s="320"/>
      <c r="F24" s="320"/>
      <c r="G24" s="322"/>
      <c r="H24" s="320">
        <v>9000.0</v>
      </c>
      <c r="I24" s="486"/>
      <c r="J24" s="324"/>
      <c r="K24" s="231"/>
      <c r="L24" s="248"/>
    </row>
    <row r="25">
      <c r="A25" s="246">
        <v>2.0</v>
      </c>
      <c r="B25" s="307"/>
      <c r="C25" s="313"/>
      <c r="D25" s="257" t="s">
        <v>588</v>
      </c>
      <c r="E25" s="258"/>
      <c r="F25" s="258"/>
      <c r="G25" s="254"/>
      <c r="H25" s="258">
        <v>10000.0</v>
      </c>
      <c r="I25" s="246"/>
      <c r="J25" s="247"/>
      <c r="K25" s="230" t="s">
        <v>566</v>
      </c>
      <c r="L25" s="231"/>
    </row>
    <row r="26">
      <c r="A26" s="485">
        <v>3.0</v>
      </c>
      <c r="B26" s="307"/>
      <c r="C26" s="243"/>
      <c r="D26" s="487" t="s">
        <v>589</v>
      </c>
      <c r="E26" s="258"/>
      <c r="F26" s="258"/>
      <c r="G26" s="254"/>
      <c r="H26" s="258"/>
      <c r="I26" s="255"/>
      <c r="J26" s="247"/>
      <c r="K26" s="231"/>
      <c r="L26" s="231"/>
    </row>
    <row r="27">
      <c r="A27" s="246">
        <v>4.0</v>
      </c>
      <c r="B27" s="307"/>
      <c r="C27" s="382"/>
      <c r="D27" s="257" t="s">
        <v>590</v>
      </c>
      <c r="E27" s="258"/>
      <c r="F27" s="258"/>
      <c r="G27" s="254"/>
      <c r="H27" s="258"/>
      <c r="I27" s="255"/>
      <c r="J27" s="259"/>
      <c r="K27" s="240"/>
      <c r="L27" s="231"/>
    </row>
    <row r="28">
      <c r="A28" s="485">
        <v>5.0</v>
      </c>
      <c r="B28" s="307"/>
      <c r="C28" s="243"/>
      <c r="D28" s="459" t="s">
        <v>591</v>
      </c>
      <c r="E28" s="297">
        <v>5.00812009E8</v>
      </c>
      <c r="F28" s="297">
        <v>7.71000032E8</v>
      </c>
      <c r="G28" s="396"/>
      <c r="H28" s="258">
        <v>24000.0</v>
      </c>
      <c r="I28" s="397"/>
      <c r="J28" s="300"/>
      <c r="K28" s="231"/>
      <c r="L28" s="231"/>
    </row>
    <row r="29">
      <c r="A29" s="246">
        <v>6.0</v>
      </c>
      <c r="B29" s="307"/>
      <c r="C29" s="313"/>
      <c r="D29" s="257" t="s">
        <v>592</v>
      </c>
      <c r="E29" s="258"/>
      <c r="F29" s="258"/>
      <c r="G29" s="254"/>
      <c r="H29" s="258"/>
      <c r="I29" s="255"/>
      <c r="J29" s="247"/>
      <c r="K29" s="240" t="s">
        <v>593</v>
      </c>
      <c r="L29" s="231"/>
    </row>
    <row r="30">
      <c r="A30" s="485">
        <v>7.0</v>
      </c>
      <c r="B30" s="251">
        <v>46190.0</v>
      </c>
      <c r="C30" s="382">
        <v>10000.0</v>
      </c>
      <c r="D30" s="308" t="s">
        <v>594</v>
      </c>
      <c r="E30" s="258" t="s">
        <v>595</v>
      </c>
      <c r="F30" s="258" t="s">
        <v>596</v>
      </c>
      <c r="G30" s="254"/>
      <c r="H30" s="258">
        <v>10000.0</v>
      </c>
      <c r="I30" s="255"/>
      <c r="J30" s="247"/>
      <c r="K30" s="231"/>
      <c r="L30" s="240" t="s">
        <v>32</v>
      </c>
    </row>
    <row r="31">
      <c r="A31" s="246">
        <v>8.0</v>
      </c>
      <c r="B31" s="251">
        <v>46175.0</v>
      </c>
      <c r="C31" s="382">
        <v>10000.0</v>
      </c>
      <c r="D31" s="308" t="s">
        <v>597</v>
      </c>
      <c r="E31" s="258">
        <v>7.75060615E8</v>
      </c>
      <c r="F31" s="258">
        <v>7.75060615E8</v>
      </c>
      <c r="G31" s="254"/>
      <c r="H31" s="258">
        <v>10000.0</v>
      </c>
      <c r="I31" s="255"/>
      <c r="J31" s="247"/>
      <c r="K31" s="344" t="s">
        <v>598</v>
      </c>
      <c r="L31" s="231"/>
    </row>
    <row r="32">
      <c r="A32" s="485">
        <v>9.0</v>
      </c>
      <c r="B32" s="251">
        <v>46175.0</v>
      </c>
      <c r="C32" s="243">
        <v>10000.0</v>
      </c>
      <c r="D32" s="308" t="s">
        <v>599</v>
      </c>
      <c r="E32" s="258" t="s">
        <v>600</v>
      </c>
      <c r="F32" s="258" t="s">
        <v>601</v>
      </c>
      <c r="G32" s="254"/>
      <c r="H32" s="258">
        <v>10000.0</v>
      </c>
      <c r="I32" s="255"/>
      <c r="J32" s="247"/>
      <c r="K32" s="248" t="s">
        <v>20</v>
      </c>
      <c r="L32" s="240" t="s">
        <v>20</v>
      </c>
    </row>
    <row r="33">
      <c r="A33" s="246">
        <v>10.0</v>
      </c>
      <c r="B33" s="488">
        <v>46175.0</v>
      </c>
      <c r="C33" s="382">
        <v>10000.0</v>
      </c>
      <c r="D33" s="489" t="s">
        <v>602</v>
      </c>
      <c r="E33" s="258" t="s">
        <v>603</v>
      </c>
      <c r="F33" s="258" t="s">
        <v>604</v>
      </c>
      <c r="G33" s="254"/>
      <c r="H33" s="258">
        <v>10000.0</v>
      </c>
      <c r="I33" s="255"/>
      <c r="J33" s="247"/>
      <c r="K33" s="248"/>
      <c r="L33" s="240" t="s">
        <v>20</v>
      </c>
    </row>
    <row r="34">
      <c r="A34" s="485">
        <v>11.0</v>
      </c>
      <c r="B34" s="490">
        <v>46163.0</v>
      </c>
      <c r="C34" s="476">
        <v>8000.0</v>
      </c>
      <c r="D34" s="360" t="s">
        <v>605</v>
      </c>
      <c r="E34" s="491">
        <v>5.59818164E8</v>
      </c>
      <c r="F34" s="491">
        <v>2.2291114E8</v>
      </c>
      <c r="G34" s="492" t="s">
        <v>606</v>
      </c>
      <c r="H34" s="491">
        <v>24000.0</v>
      </c>
      <c r="I34" s="419"/>
      <c r="J34" s="419"/>
      <c r="K34" s="482"/>
      <c r="L34" s="493" t="s">
        <v>32</v>
      </c>
    </row>
    <row r="35">
      <c r="A35" s="246">
        <v>12.0</v>
      </c>
      <c r="B35" s="307"/>
      <c r="C35" s="243">
        <v>10000.0</v>
      </c>
      <c r="D35" s="273" t="s">
        <v>607</v>
      </c>
      <c r="E35" s="258">
        <v>5.55628562E8</v>
      </c>
      <c r="F35" s="258">
        <v>7.70528984E8</v>
      </c>
      <c r="G35" s="254"/>
      <c r="H35" s="258">
        <v>9000.0</v>
      </c>
      <c r="I35" s="255"/>
      <c r="J35" s="247"/>
      <c r="K35" s="231"/>
      <c r="L35" s="240" t="s">
        <v>193</v>
      </c>
    </row>
    <row r="36">
      <c r="A36" s="485">
        <v>13.0</v>
      </c>
      <c r="B36" s="256">
        <v>46176.0</v>
      </c>
      <c r="C36" s="243">
        <v>8000.0</v>
      </c>
      <c r="D36" s="359" t="s">
        <v>608</v>
      </c>
      <c r="E36" s="258">
        <v>9.96700879009E11</v>
      </c>
      <c r="F36" s="258">
        <v>9.96559584818E11</v>
      </c>
      <c r="G36" s="254"/>
      <c r="H36" s="258">
        <v>24000.0</v>
      </c>
      <c r="I36" s="255"/>
      <c r="J36" s="247"/>
      <c r="K36" s="231"/>
      <c r="L36" s="436" t="s">
        <v>609</v>
      </c>
    </row>
    <row r="37">
      <c r="A37" s="246">
        <v>14.0</v>
      </c>
      <c r="B37" s="395">
        <v>46176.0</v>
      </c>
      <c r="C37" s="243">
        <v>5000.0</v>
      </c>
      <c r="D37" s="359" t="s">
        <v>610</v>
      </c>
      <c r="E37" s="297" t="s">
        <v>611</v>
      </c>
      <c r="F37" s="297" t="s">
        <v>612</v>
      </c>
      <c r="G37" s="298"/>
      <c r="H37" s="297">
        <v>24000.0</v>
      </c>
      <c r="I37" s="299"/>
      <c r="J37" s="300"/>
      <c r="K37" s="231"/>
      <c r="L37" s="240" t="s">
        <v>20</v>
      </c>
    </row>
    <row r="38">
      <c r="A38" s="485">
        <v>15.0</v>
      </c>
      <c r="B38" s="494">
        <v>46158.0</v>
      </c>
      <c r="C38" s="445">
        <v>10000.0</v>
      </c>
      <c r="D38" s="495" t="s">
        <v>613</v>
      </c>
      <c r="E38" s="496" t="s">
        <v>614</v>
      </c>
      <c r="F38" s="355"/>
      <c r="G38" s="497" t="s">
        <v>0</v>
      </c>
      <c r="H38" s="496">
        <v>10000.0</v>
      </c>
      <c r="I38" s="498"/>
      <c r="J38" s="499"/>
      <c r="K38" s="500" t="s">
        <v>74</v>
      </c>
      <c r="L38" s="231"/>
    </row>
    <row r="40">
      <c r="D40" s="240" t="s">
        <v>615</v>
      </c>
      <c r="E40" s="240"/>
      <c r="F40" s="240"/>
      <c r="G40" s="231"/>
      <c r="H40" s="240"/>
      <c r="I40" s="231"/>
      <c r="J40" s="231"/>
      <c r="K40" s="57"/>
    </row>
    <row r="41">
      <c r="A41" s="223"/>
      <c r="K41" s="224"/>
    </row>
    <row r="42">
      <c r="A42" s="225"/>
      <c r="B42" s="225"/>
      <c r="C42" s="225"/>
      <c r="D42" s="225" t="s">
        <v>616</v>
      </c>
      <c r="E42" s="501">
        <v>0.6875</v>
      </c>
      <c r="F42" s="502">
        <v>38412.0</v>
      </c>
      <c r="G42" s="225" t="s">
        <v>490</v>
      </c>
      <c r="H42" s="225"/>
      <c r="I42" s="30"/>
      <c r="J42" s="30"/>
    </row>
    <row r="43">
      <c r="A43" s="30"/>
      <c r="C43" s="30"/>
      <c r="D43" s="503"/>
      <c r="E43" s="30"/>
      <c r="F43" s="30"/>
      <c r="H43" s="30"/>
    </row>
    <row r="44">
      <c r="A44" s="30"/>
      <c r="C44" s="30"/>
      <c r="D44" s="503"/>
      <c r="E44" s="30"/>
      <c r="F44" s="30"/>
      <c r="G44" s="30" t="s">
        <v>617</v>
      </c>
      <c r="H44" s="30"/>
      <c r="I44" s="30"/>
    </row>
    <row r="45">
      <c r="A45" s="504" t="s">
        <v>618</v>
      </c>
      <c r="B45" s="172"/>
      <c r="C45" s="172"/>
      <c r="D45" s="172"/>
      <c r="E45" s="172"/>
      <c r="F45" s="172"/>
      <c r="G45" s="172"/>
      <c r="H45" s="172"/>
      <c r="I45" s="172"/>
      <c r="J45" s="173"/>
      <c r="K45" s="204"/>
    </row>
    <row r="46">
      <c r="A46" s="375" t="s">
        <v>1</v>
      </c>
      <c r="B46" s="375" t="s">
        <v>2</v>
      </c>
      <c r="C46" s="375" t="s">
        <v>3</v>
      </c>
      <c r="D46" s="375" t="s">
        <v>4</v>
      </c>
      <c r="E46" s="375" t="s">
        <v>5</v>
      </c>
      <c r="F46" s="376" t="s">
        <v>6</v>
      </c>
      <c r="G46" s="505" t="s">
        <v>7</v>
      </c>
      <c r="H46" s="506" t="s">
        <v>8</v>
      </c>
      <c r="I46" s="236" t="s">
        <v>9</v>
      </c>
      <c r="J46" s="237"/>
      <c r="K46" s="231"/>
    </row>
    <row r="47">
      <c r="A47" s="485">
        <v>1.0</v>
      </c>
      <c r="B47" s="317">
        <v>46182.0</v>
      </c>
      <c r="C47" s="243">
        <v>10000.0</v>
      </c>
      <c r="D47" s="273" t="s">
        <v>619</v>
      </c>
      <c r="E47" s="320">
        <v>7.0250527E8</v>
      </c>
      <c r="F47" s="320">
        <v>7.0250527E8</v>
      </c>
      <c r="G47" s="322"/>
      <c r="H47" s="320">
        <v>10000.0</v>
      </c>
      <c r="I47" s="486"/>
      <c r="J47" s="324"/>
      <c r="K47" s="507" t="s">
        <v>32</v>
      </c>
      <c r="L47" s="30" t="s">
        <v>32</v>
      </c>
    </row>
    <row r="48">
      <c r="A48" s="246">
        <v>2.0</v>
      </c>
      <c r="B48" s="251">
        <v>46182.0</v>
      </c>
      <c r="C48" s="243">
        <v>10000.0</v>
      </c>
      <c r="D48" s="257" t="s">
        <v>620</v>
      </c>
      <c r="E48" s="258">
        <v>5.58250535E8</v>
      </c>
      <c r="F48" s="258">
        <v>5.58250535E8</v>
      </c>
      <c r="G48" s="254"/>
      <c r="H48" s="258">
        <v>10000.0</v>
      </c>
      <c r="I48" s="246"/>
      <c r="J48" s="247"/>
      <c r="K48" s="437" t="s">
        <v>32</v>
      </c>
    </row>
    <row r="49">
      <c r="A49" s="485">
        <v>3.0</v>
      </c>
      <c r="B49" s="251">
        <v>46188.0</v>
      </c>
      <c r="C49" s="243">
        <v>10000.0</v>
      </c>
      <c r="D49" s="257" t="s">
        <v>621</v>
      </c>
      <c r="E49" s="258">
        <v>7.9293178154E10</v>
      </c>
      <c r="F49" s="258" t="s">
        <v>622</v>
      </c>
      <c r="G49" s="254"/>
      <c r="H49" s="258">
        <v>10000.0</v>
      </c>
      <c r="I49" s="255"/>
      <c r="J49" s="247"/>
      <c r="K49" s="436" t="s">
        <v>32</v>
      </c>
    </row>
    <row r="50">
      <c r="A50" s="485">
        <v>4.0</v>
      </c>
      <c r="B50" s="251">
        <v>46177.0</v>
      </c>
      <c r="C50" s="243">
        <v>20000.0</v>
      </c>
      <c r="D50" s="257" t="s">
        <v>623</v>
      </c>
      <c r="E50" s="258">
        <v>5.07123013E8</v>
      </c>
      <c r="F50" s="258">
        <v>5.53295839E8</v>
      </c>
      <c r="G50" s="254"/>
      <c r="H50" s="258">
        <v>20000.0</v>
      </c>
      <c r="I50" s="255"/>
      <c r="J50" s="259"/>
      <c r="K50" s="344" t="s">
        <v>624</v>
      </c>
      <c r="L50" s="301"/>
    </row>
    <row r="51">
      <c r="A51" s="246">
        <v>5.0</v>
      </c>
      <c r="B51" s="251">
        <v>46177.0</v>
      </c>
      <c r="C51" s="243">
        <v>20000.0</v>
      </c>
      <c r="D51" s="257" t="s">
        <v>625</v>
      </c>
      <c r="E51" s="258">
        <v>5.01253639E8</v>
      </c>
      <c r="F51" s="258">
        <v>5.53295839E8</v>
      </c>
      <c r="G51" s="254"/>
      <c r="H51" s="258">
        <v>20000.0</v>
      </c>
      <c r="I51" s="255"/>
      <c r="J51" s="247"/>
      <c r="K51" s="344" t="s">
        <v>624</v>
      </c>
      <c r="L51" s="301"/>
    </row>
    <row r="52">
      <c r="A52" s="485">
        <v>6.0</v>
      </c>
      <c r="B52" s="251">
        <v>46181.0</v>
      </c>
      <c r="C52" s="243">
        <v>10000.0</v>
      </c>
      <c r="D52" s="257" t="s">
        <v>626</v>
      </c>
      <c r="E52" s="258">
        <v>2.20777581E8</v>
      </c>
      <c r="F52" s="258" t="s">
        <v>627</v>
      </c>
      <c r="G52" s="254"/>
      <c r="H52" s="258">
        <v>10000.0</v>
      </c>
      <c r="I52" s="255"/>
      <c r="J52" s="247"/>
      <c r="K52" s="436" t="s">
        <v>32</v>
      </c>
      <c r="L52" s="250"/>
    </row>
    <row r="53">
      <c r="A53" s="485">
        <v>7.0</v>
      </c>
      <c r="B53" s="251">
        <v>46184.0</v>
      </c>
      <c r="C53" s="243">
        <v>20000.0</v>
      </c>
      <c r="D53" s="308" t="s">
        <v>628</v>
      </c>
      <c r="E53" s="258">
        <v>7.07108086E8</v>
      </c>
      <c r="F53" s="258">
        <v>7.79108086E8</v>
      </c>
      <c r="G53" s="254"/>
      <c r="H53" s="258">
        <v>20000.0</v>
      </c>
      <c r="I53" s="255"/>
      <c r="J53" s="247"/>
      <c r="K53" s="240" t="s">
        <v>20</v>
      </c>
    </row>
    <row r="54">
      <c r="A54" s="246">
        <v>8.0</v>
      </c>
      <c r="B54" s="251">
        <v>46182.0</v>
      </c>
      <c r="C54" s="243">
        <v>10000.0</v>
      </c>
      <c r="D54" s="308" t="s">
        <v>629</v>
      </c>
      <c r="E54" s="258">
        <v>5.53910106E8</v>
      </c>
      <c r="F54" s="258">
        <v>5.58850191E8</v>
      </c>
      <c r="G54" s="254"/>
      <c r="H54" s="258">
        <v>10000.0</v>
      </c>
      <c r="I54" s="255"/>
      <c r="J54" s="259">
        <v>5000.0</v>
      </c>
      <c r="K54" s="344" t="s">
        <v>624</v>
      </c>
    </row>
    <row r="55">
      <c r="A55" s="485">
        <v>9.0</v>
      </c>
      <c r="B55" s="251">
        <v>46183.0</v>
      </c>
      <c r="C55" s="243">
        <v>10000.0</v>
      </c>
      <c r="D55" s="308" t="s">
        <v>630</v>
      </c>
      <c r="E55" s="258">
        <v>5.52597759E8</v>
      </c>
      <c r="F55" s="258"/>
      <c r="G55" s="254"/>
      <c r="H55" s="258">
        <v>10000.0</v>
      </c>
      <c r="I55" s="508">
        <v>46189.0</v>
      </c>
      <c r="J55" s="247"/>
      <c r="K55" s="344" t="s">
        <v>624</v>
      </c>
    </row>
    <row r="56">
      <c r="A56" s="485">
        <v>10.0</v>
      </c>
      <c r="B56" s="251">
        <v>46190.0</v>
      </c>
      <c r="C56" s="243">
        <v>20000.0</v>
      </c>
      <c r="D56" s="509" t="s">
        <v>631</v>
      </c>
      <c r="E56" s="258">
        <v>5.55007749E8</v>
      </c>
      <c r="F56" s="258"/>
      <c r="G56" s="254"/>
      <c r="H56" s="258">
        <v>20000.0</v>
      </c>
      <c r="I56" s="255"/>
      <c r="J56" s="247"/>
      <c r="K56" s="344" t="s">
        <v>624</v>
      </c>
    </row>
    <row r="57">
      <c r="A57" s="246">
        <v>11.0</v>
      </c>
      <c r="B57" s="510">
        <v>46185.0</v>
      </c>
      <c r="C57" s="439">
        <v>20000.0</v>
      </c>
      <c r="D57" s="253" t="s">
        <v>632</v>
      </c>
      <c r="E57" s="511" t="s">
        <v>633</v>
      </c>
      <c r="F57" s="511" t="s">
        <v>634</v>
      </c>
      <c r="G57" s="492"/>
      <c r="H57" s="511">
        <v>20000.0</v>
      </c>
      <c r="I57" s="419"/>
      <c r="J57" s="419"/>
      <c r="K57" s="240" t="s">
        <v>20</v>
      </c>
    </row>
    <row r="58">
      <c r="A58" s="485">
        <v>12.0</v>
      </c>
      <c r="B58" s="251">
        <v>46185.0</v>
      </c>
      <c r="C58" s="243">
        <v>20000.0</v>
      </c>
      <c r="D58" s="273" t="s">
        <v>635</v>
      </c>
      <c r="E58" s="258" t="s">
        <v>636</v>
      </c>
      <c r="F58" s="258" t="s">
        <v>637</v>
      </c>
      <c r="G58" s="254"/>
      <c r="H58" s="258">
        <v>20000.0</v>
      </c>
      <c r="I58" s="255"/>
      <c r="J58" s="247"/>
      <c r="K58" s="437" t="s">
        <v>32</v>
      </c>
    </row>
    <row r="59">
      <c r="A59" s="485">
        <v>13.0</v>
      </c>
      <c r="B59" s="256">
        <v>46186.0</v>
      </c>
      <c r="C59" s="243">
        <v>10000.0</v>
      </c>
      <c r="D59" s="273" t="s">
        <v>638</v>
      </c>
      <c r="E59" s="258" t="s">
        <v>639</v>
      </c>
      <c r="F59" s="258" t="s">
        <v>640</v>
      </c>
      <c r="G59" s="254"/>
      <c r="H59" s="258">
        <v>10000.0</v>
      </c>
      <c r="I59" s="255"/>
      <c r="J59" s="247"/>
      <c r="K59" s="240" t="s">
        <v>20</v>
      </c>
    </row>
    <row r="60">
      <c r="A60" s="246">
        <v>14.0</v>
      </c>
      <c r="B60" s="317">
        <v>46188.0</v>
      </c>
      <c r="C60" s="243">
        <v>10000.0</v>
      </c>
      <c r="D60" s="273" t="s">
        <v>641</v>
      </c>
      <c r="E60" s="320" t="s">
        <v>642</v>
      </c>
      <c r="F60" s="320">
        <v>9.9670800168E11</v>
      </c>
      <c r="G60" s="322"/>
      <c r="H60" s="320">
        <v>10000.0</v>
      </c>
      <c r="I60" s="323"/>
      <c r="J60" s="324"/>
      <c r="K60" s="437" t="s">
        <v>32</v>
      </c>
    </row>
    <row r="61">
      <c r="A61" s="486">
        <v>15.0</v>
      </c>
      <c r="B61" s="251">
        <v>46181.0</v>
      </c>
      <c r="C61" s="272">
        <v>10000.0</v>
      </c>
      <c r="D61" s="273" t="s">
        <v>643</v>
      </c>
      <c r="E61" s="258" t="s">
        <v>644</v>
      </c>
      <c r="F61" s="258" t="s">
        <v>645</v>
      </c>
      <c r="G61" s="383"/>
      <c r="H61" s="258">
        <v>10000.0</v>
      </c>
      <c r="I61" s="307"/>
      <c r="J61" s="247"/>
      <c r="K61" s="512" t="s">
        <v>32</v>
      </c>
    </row>
    <row r="62">
      <c r="A62" s="258">
        <v>16.0</v>
      </c>
      <c r="B62" s="349">
        <v>46189.0</v>
      </c>
      <c r="C62" s="258">
        <v>10000.0</v>
      </c>
      <c r="D62" s="273" t="s">
        <v>646</v>
      </c>
      <c r="E62" s="258" t="s">
        <v>647</v>
      </c>
      <c r="F62" s="258" t="s">
        <v>648</v>
      </c>
      <c r="G62" s="258"/>
      <c r="H62" s="258">
        <v>10000.0</v>
      </c>
      <c r="I62" s="258"/>
      <c r="J62" s="258"/>
      <c r="K62" s="513" t="s">
        <v>20</v>
      </c>
    </row>
    <row r="63">
      <c r="A63" s="30"/>
      <c r="C63" s="30"/>
      <c r="D63" s="503"/>
      <c r="E63" s="30"/>
      <c r="F63" s="30"/>
      <c r="H63" s="30"/>
    </row>
    <row r="64">
      <c r="A64" s="30"/>
      <c r="C64" s="30"/>
      <c r="D64" s="503"/>
      <c r="E64" s="30"/>
      <c r="F64" s="30" t="s">
        <v>649</v>
      </c>
      <c r="H64" s="30"/>
      <c r="I64" s="30"/>
    </row>
    <row r="65">
      <c r="A65" s="30"/>
      <c r="C65" s="30"/>
      <c r="D65" s="503"/>
      <c r="E65" s="30"/>
      <c r="F65" s="30"/>
      <c r="H65" s="30"/>
    </row>
    <row r="66">
      <c r="A66" s="30"/>
      <c r="C66" s="30"/>
      <c r="D66" s="503"/>
      <c r="E66" s="30"/>
      <c r="F66" s="30"/>
      <c r="H66" s="30"/>
      <c r="J66" s="30"/>
    </row>
    <row r="67">
      <c r="A67" s="30"/>
      <c r="C67" s="30"/>
      <c r="D67" s="503" t="s">
        <v>650</v>
      </c>
      <c r="E67" s="30"/>
      <c r="F67" s="30" t="s">
        <v>0</v>
      </c>
      <c r="H67" s="30"/>
      <c r="I67" s="30"/>
    </row>
    <row r="68">
      <c r="A68" s="30"/>
      <c r="C68" s="30"/>
      <c r="D68" s="503"/>
      <c r="E68" s="30"/>
      <c r="F68" s="30"/>
      <c r="H68" s="30"/>
    </row>
    <row r="69">
      <c r="A69" s="514" t="s">
        <v>651</v>
      </c>
      <c r="B69" s="47"/>
      <c r="C69" s="47"/>
      <c r="D69" s="47"/>
      <c r="E69" s="47"/>
      <c r="F69" s="47"/>
      <c r="G69" s="47"/>
      <c r="H69" s="47"/>
      <c r="I69" s="47"/>
      <c r="J69" s="48"/>
      <c r="K69" s="351">
        <f>SUM(H71:H83)</f>
        <v>96500</v>
      </c>
    </row>
    <row r="70">
      <c r="A70" s="515" t="s">
        <v>1</v>
      </c>
      <c r="B70" s="515" t="s">
        <v>2</v>
      </c>
      <c r="C70" s="515" t="s">
        <v>3</v>
      </c>
      <c r="D70" s="515" t="s">
        <v>4</v>
      </c>
      <c r="E70" s="515" t="s">
        <v>5</v>
      </c>
      <c r="F70" s="516" t="s">
        <v>6</v>
      </c>
      <c r="G70" s="515" t="s">
        <v>7</v>
      </c>
      <c r="H70" s="359" t="s">
        <v>8</v>
      </c>
      <c r="I70" s="355" t="s">
        <v>9</v>
      </c>
      <c r="J70" s="355" t="s">
        <v>49</v>
      </c>
      <c r="K70" s="356"/>
    </row>
    <row r="71">
      <c r="A71" s="258">
        <v>1.0</v>
      </c>
      <c r="B71" s="517">
        <v>46191.0</v>
      </c>
      <c r="C71" s="518">
        <v>10000.0</v>
      </c>
      <c r="D71" s="519" t="s">
        <v>652</v>
      </c>
      <c r="E71" s="518" t="s">
        <v>653</v>
      </c>
      <c r="F71" s="518" t="s">
        <v>654</v>
      </c>
      <c r="G71" s="520"/>
      <c r="H71" s="518">
        <v>10000.0</v>
      </c>
      <c r="I71" s="521"/>
      <c r="J71" s="520"/>
      <c r="K71" s="522" t="s">
        <v>32</v>
      </c>
    </row>
    <row r="72">
      <c r="A72" s="258">
        <v>2.0</v>
      </c>
      <c r="B72" s="349">
        <v>46192.0</v>
      </c>
      <c r="C72" s="258"/>
      <c r="D72" s="379" t="s">
        <v>655</v>
      </c>
      <c r="E72" s="306" t="s">
        <v>656</v>
      </c>
      <c r="F72" s="258" t="s">
        <v>657</v>
      </c>
      <c r="G72" s="305"/>
      <c r="H72" s="306">
        <v>10000.0</v>
      </c>
      <c r="I72" s="305"/>
      <c r="J72" s="305"/>
      <c r="K72" s="523" t="s">
        <v>32</v>
      </c>
    </row>
    <row r="73">
      <c r="A73" s="258">
        <v>3.0</v>
      </c>
      <c r="B73" s="349">
        <v>46197.0</v>
      </c>
      <c r="C73" s="258">
        <v>9000.0</v>
      </c>
      <c r="D73" s="379" t="s">
        <v>658</v>
      </c>
      <c r="E73" s="306" t="s">
        <v>659</v>
      </c>
      <c r="F73" s="524" t="s">
        <v>659</v>
      </c>
      <c r="G73" s="258">
        <v>2001.0</v>
      </c>
      <c r="H73" s="306">
        <v>22500.0</v>
      </c>
      <c r="I73" s="305"/>
      <c r="J73" s="305"/>
      <c r="K73" s="525" t="s">
        <v>32</v>
      </c>
    </row>
    <row r="74">
      <c r="A74" s="258">
        <v>4.0</v>
      </c>
      <c r="B74" s="526">
        <v>46204.0</v>
      </c>
      <c r="C74" s="359">
        <v>10000.0</v>
      </c>
      <c r="D74" s="454" t="s">
        <v>660</v>
      </c>
      <c r="E74" s="454" t="s">
        <v>661</v>
      </c>
      <c r="F74" s="359" t="s">
        <v>549</v>
      </c>
      <c r="G74" s="527"/>
      <c r="H74" s="454">
        <v>10000.0</v>
      </c>
      <c r="I74" s="527"/>
      <c r="J74" s="359"/>
      <c r="K74" s="528" t="s">
        <v>280</v>
      </c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</row>
    <row r="75">
      <c r="A75" s="258">
        <v>5.0</v>
      </c>
      <c r="B75" s="314"/>
      <c r="C75" s="277"/>
      <c r="D75" s="386" t="s">
        <v>662</v>
      </c>
      <c r="E75" s="386"/>
      <c r="F75" s="314"/>
      <c r="G75" s="314"/>
      <c r="H75" s="386"/>
      <c r="I75" s="314"/>
      <c r="J75" s="314"/>
      <c r="K75" s="529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258">
        <v>6.0</v>
      </c>
      <c r="B76" s="258"/>
      <c r="C76" s="258"/>
      <c r="D76" s="273" t="s">
        <v>663</v>
      </c>
      <c r="E76" s="530"/>
      <c r="F76" s="305"/>
      <c r="G76" s="258"/>
      <c r="H76" s="258"/>
      <c r="I76" s="305"/>
      <c r="J76" s="305"/>
      <c r="K76" s="258"/>
    </row>
    <row r="77">
      <c r="A77" s="258">
        <v>7.0</v>
      </c>
      <c r="B77" s="349"/>
      <c r="C77" s="258"/>
      <c r="D77" s="379" t="s">
        <v>664</v>
      </c>
      <c r="E77" s="306"/>
      <c r="F77" s="305"/>
      <c r="G77" s="258"/>
      <c r="H77" s="306"/>
      <c r="I77" s="305"/>
      <c r="J77" s="305"/>
      <c r="K77" s="525"/>
    </row>
    <row r="78">
      <c r="A78" s="258">
        <v>8.0</v>
      </c>
      <c r="B78" s="349"/>
      <c r="C78" s="258"/>
      <c r="D78" s="273" t="s">
        <v>665</v>
      </c>
      <c r="E78" s="258" t="s">
        <v>280</v>
      </c>
      <c r="F78" s="258"/>
      <c r="G78" s="305"/>
      <c r="H78" s="258"/>
      <c r="I78" s="305"/>
      <c r="J78" s="305"/>
      <c r="K78" s="525"/>
    </row>
    <row r="79">
      <c r="A79" s="258">
        <v>9.0</v>
      </c>
      <c r="B79" s="349"/>
      <c r="C79" s="258"/>
      <c r="D79" s="273" t="s">
        <v>666</v>
      </c>
      <c r="E79" s="258"/>
      <c r="F79" s="343"/>
      <c r="G79" s="258"/>
      <c r="H79" s="258"/>
      <c r="I79" s="305"/>
      <c r="J79" s="258"/>
      <c r="K79" s="525"/>
    </row>
    <row r="80">
      <c r="A80" s="258">
        <v>10.0</v>
      </c>
      <c r="B80" s="258"/>
      <c r="C80" s="258"/>
      <c r="D80" s="273" t="s">
        <v>667</v>
      </c>
      <c r="E80" s="258"/>
      <c r="F80" s="258"/>
      <c r="G80" s="305"/>
      <c r="H80" s="258"/>
      <c r="I80" s="305"/>
      <c r="J80" s="305"/>
      <c r="K80" s="525"/>
    </row>
    <row r="81">
      <c r="A81" s="258">
        <v>11.0</v>
      </c>
      <c r="B81" s="349">
        <v>46199.0</v>
      </c>
      <c r="C81" s="258"/>
      <c r="D81" s="273" t="s">
        <v>668</v>
      </c>
      <c r="E81" s="258">
        <v>7.72202078E8</v>
      </c>
      <c r="F81" s="258" t="s">
        <v>669</v>
      </c>
      <c r="G81" s="305"/>
      <c r="H81" s="258">
        <v>18000.0</v>
      </c>
      <c r="I81" s="305"/>
      <c r="J81" s="305"/>
      <c r="K81" s="531" t="s">
        <v>401</v>
      </c>
    </row>
    <row r="82">
      <c r="A82" s="258">
        <v>12.0</v>
      </c>
      <c r="B82" s="357">
        <v>46199.0</v>
      </c>
      <c r="C82" s="258">
        <v>10000.0</v>
      </c>
      <c r="D82" s="273" t="s">
        <v>670</v>
      </c>
      <c r="E82" s="258" t="s">
        <v>671</v>
      </c>
      <c r="F82" s="258" t="s">
        <v>672</v>
      </c>
      <c r="G82" s="258">
        <v>1988.0</v>
      </c>
      <c r="H82" s="258">
        <v>8000.0</v>
      </c>
      <c r="I82" s="305"/>
      <c r="J82" s="305"/>
      <c r="K82" s="525" t="s">
        <v>32</v>
      </c>
    </row>
    <row r="83">
      <c r="A83" s="258">
        <v>13.0</v>
      </c>
      <c r="B83" s="349">
        <v>46200.0</v>
      </c>
      <c r="C83" s="258">
        <v>9000.0</v>
      </c>
      <c r="D83" s="273" t="s">
        <v>673</v>
      </c>
      <c r="E83" s="258" t="s">
        <v>674</v>
      </c>
      <c r="F83" s="258" t="s">
        <v>675</v>
      </c>
      <c r="G83" s="258">
        <v>2010.0</v>
      </c>
      <c r="H83" s="258">
        <v>18000.0</v>
      </c>
      <c r="I83" s="305"/>
      <c r="J83" s="305"/>
      <c r="K83" s="532" t="s">
        <v>32</v>
      </c>
    </row>
    <row r="84">
      <c r="A84" s="258">
        <v>14.0</v>
      </c>
      <c r="B84" s="349">
        <v>46202.0</v>
      </c>
      <c r="C84" s="258" t="s">
        <v>676</v>
      </c>
      <c r="D84" s="273" t="s">
        <v>677</v>
      </c>
      <c r="E84" s="258"/>
      <c r="F84" s="258"/>
      <c r="G84" s="305"/>
      <c r="H84" s="258"/>
      <c r="I84" s="305"/>
      <c r="J84" s="305"/>
      <c r="K84" s="525"/>
    </row>
    <row r="85">
      <c r="A85" s="258">
        <v>15.0</v>
      </c>
      <c r="B85" s="349">
        <v>46202.0</v>
      </c>
      <c r="C85" s="336">
        <v>10000.0</v>
      </c>
      <c r="D85" s="273" t="s">
        <v>678</v>
      </c>
      <c r="E85" s="258" t="s">
        <v>679</v>
      </c>
      <c r="F85" s="258" t="s">
        <v>680</v>
      </c>
      <c r="G85" s="305"/>
      <c r="H85" s="336">
        <v>10000.0</v>
      </c>
      <c r="I85" s="305"/>
      <c r="J85" s="305"/>
      <c r="K85" s="525" t="s">
        <v>20</v>
      </c>
    </row>
    <row r="86">
      <c r="B86" s="251">
        <v>46190.0</v>
      </c>
      <c r="C86" s="382">
        <v>10000.0</v>
      </c>
      <c r="D86" s="308" t="s">
        <v>594</v>
      </c>
      <c r="E86" s="258" t="s">
        <v>595</v>
      </c>
      <c r="F86" s="258" t="s">
        <v>596</v>
      </c>
      <c r="G86" s="254"/>
      <c r="H86" s="258">
        <v>10000.0</v>
      </c>
      <c r="I86" s="255"/>
      <c r="J86" s="247"/>
      <c r="K86" s="525"/>
    </row>
    <row r="87">
      <c r="B87" s="251">
        <v>46199.0</v>
      </c>
      <c r="C87" s="272">
        <v>18000.0</v>
      </c>
      <c r="D87" s="273" t="s">
        <v>681</v>
      </c>
      <c r="E87" s="359" t="s">
        <v>682</v>
      </c>
      <c r="F87" s="258" t="s">
        <v>683</v>
      </c>
      <c r="G87" s="383"/>
      <c r="H87" s="258">
        <v>18000.0</v>
      </c>
      <c r="I87" s="307"/>
      <c r="J87" s="247"/>
    </row>
    <row r="89">
      <c r="D89" s="533" t="s">
        <v>684</v>
      </c>
    </row>
  </sheetData>
  <mergeCells count="11">
    <mergeCell ref="A69:J69"/>
    <mergeCell ref="K69:K70"/>
    <mergeCell ref="K22:K23"/>
    <mergeCell ref="L22:L23"/>
    <mergeCell ref="A2:J2"/>
    <mergeCell ref="K2:K3"/>
    <mergeCell ref="A22:J22"/>
    <mergeCell ref="A41:J41"/>
    <mergeCell ref="K41:K42"/>
    <mergeCell ref="A45:J45"/>
    <mergeCell ref="L2:L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2.25"/>
    <col customWidth="1" min="3" max="3" width="10.5"/>
    <col customWidth="1" min="4" max="4" width="23.75"/>
    <col customWidth="1" min="5" max="5" width="22.0"/>
    <col customWidth="1" min="6" max="6" width="28.13"/>
    <col customWidth="1" min="7" max="7" width="18.25"/>
    <col customWidth="1" min="11" max="11" width="8.75"/>
    <col customWidth="1" min="12" max="12" width="25.63"/>
  </cols>
  <sheetData>
    <row r="1">
      <c r="A1" s="30" t="s">
        <v>0</v>
      </c>
      <c r="B1" s="30"/>
      <c r="C1" s="30"/>
    </row>
    <row r="2" ht="27.0" customHeight="1">
      <c r="A2" s="350" t="s">
        <v>685</v>
      </c>
      <c r="B2" s="47"/>
      <c r="C2" s="47"/>
      <c r="D2" s="47"/>
      <c r="E2" s="47"/>
      <c r="F2" s="47"/>
      <c r="G2" s="47"/>
      <c r="H2" s="47"/>
      <c r="I2" s="47"/>
      <c r="J2" s="48"/>
      <c r="K2" s="229">
        <f>SUM(H4:H17)</f>
        <v>172000</v>
      </c>
      <c r="L2" s="231"/>
      <c r="M2" s="231"/>
      <c r="N2" s="231"/>
    </row>
    <row r="3">
      <c r="A3" s="352" t="s">
        <v>1</v>
      </c>
      <c r="B3" s="352" t="s">
        <v>2</v>
      </c>
      <c r="C3" s="352" t="s">
        <v>3</v>
      </c>
      <c r="D3" s="352" t="s">
        <v>4</v>
      </c>
      <c r="E3" s="352" t="s">
        <v>5</v>
      </c>
      <c r="F3" s="353" t="s">
        <v>6</v>
      </c>
      <c r="G3" s="352" t="s">
        <v>7</v>
      </c>
      <c r="H3" s="354" t="s">
        <v>8</v>
      </c>
      <c r="I3" s="355" t="s">
        <v>9</v>
      </c>
      <c r="J3" s="355" t="s">
        <v>49</v>
      </c>
      <c r="L3" s="231"/>
      <c r="M3" s="231"/>
      <c r="N3" s="231"/>
    </row>
    <row r="4">
      <c r="A4" s="258">
        <v>1.0</v>
      </c>
      <c r="B4" s="357"/>
      <c r="C4" s="258"/>
      <c r="D4" s="257"/>
      <c r="E4" s="258"/>
      <c r="F4" s="258"/>
      <c r="G4" s="305"/>
      <c r="H4" s="258"/>
      <c r="I4" s="305"/>
      <c r="J4" s="305"/>
      <c r="K4" s="240"/>
      <c r="L4" s="381"/>
      <c r="M4" s="231"/>
      <c r="N4" s="231"/>
    </row>
    <row r="5">
      <c r="A5" s="258">
        <v>2.0</v>
      </c>
      <c r="B5" s="357">
        <v>46162.0</v>
      </c>
      <c r="C5" s="258">
        <v>10000.0</v>
      </c>
      <c r="D5" s="257" t="s">
        <v>686</v>
      </c>
      <c r="E5" s="258">
        <v>5.51353581E8</v>
      </c>
      <c r="F5" s="258">
        <v>5.5582717E8</v>
      </c>
      <c r="G5" s="305"/>
      <c r="H5" s="258">
        <v>10000.0</v>
      </c>
      <c r="I5" s="258"/>
      <c r="J5" s="258"/>
      <c r="K5" s="344" t="s">
        <v>74</v>
      </c>
      <c r="L5" s="381"/>
      <c r="M5" s="231"/>
      <c r="N5" s="231"/>
    </row>
    <row r="6">
      <c r="A6" s="258">
        <v>3.0</v>
      </c>
      <c r="B6" s="357">
        <v>46163.0</v>
      </c>
      <c r="C6" s="258">
        <v>8000.0</v>
      </c>
      <c r="D6" s="257" t="s">
        <v>687</v>
      </c>
      <c r="E6" s="258"/>
      <c r="F6" s="258"/>
      <c r="G6" s="305"/>
      <c r="H6" s="258">
        <v>24000.0</v>
      </c>
      <c r="I6" s="305"/>
      <c r="J6" s="305"/>
      <c r="K6" s="240" t="s">
        <v>193</v>
      </c>
      <c r="L6" s="381"/>
      <c r="M6" s="231"/>
      <c r="N6" s="231"/>
    </row>
    <row r="7">
      <c r="A7" s="258">
        <v>4.0</v>
      </c>
      <c r="B7" s="357">
        <v>46172.0</v>
      </c>
      <c r="C7" s="258">
        <v>8000.0</v>
      </c>
      <c r="D7" s="257" t="s">
        <v>688</v>
      </c>
      <c r="E7" s="258" t="s">
        <v>689</v>
      </c>
      <c r="F7" s="258" t="s">
        <v>690</v>
      </c>
      <c r="G7" s="305"/>
      <c r="H7" s="258">
        <v>5000.0</v>
      </c>
      <c r="I7" s="305"/>
      <c r="J7" s="305"/>
      <c r="K7" s="240" t="s">
        <v>20</v>
      </c>
      <c r="L7" s="534"/>
      <c r="M7" s="231"/>
      <c r="N7" s="231"/>
    </row>
    <row r="8">
      <c r="A8" s="258">
        <v>5.0</v>
      </c>
      <c r="B8" s="349">
        <v>46167.0</v>
      </c>
      <c r="C8" s="258">
        <v>10000.0</v>
      </c>
      <c r="D8" s="379" t="s">
        <v>691</v>
      </c>
      <c r="E8" s="306">
        <v>2.20274036E8</v>
      </c>
      <c r="F8" s="258">
        <v>2.22122191E8</v>
      </c>
      <c r="G8" s="258">
        <v>2010.0</v>
      </c>
      <c r="H8" s="306">
        <v>10000.0</v>
      </c>
      <c r="I8" s="305"/>
      <c r="J8" s="305"/>
      <c r="K8" s="344" t="s">
        <v>74</v>
      </c>
      <c r="L8" s="405"/>
      <c r="M8" s="231"/>
      <c r="N8" s="231"/>
    </row>
    <row r="9">
      <c r="A9" s="258">
        <v>6.0</v>
      </c>
      <c r="B9" s="357">
        <v>46143.0</v>
      </c>
      <c r="C9" s="258" t="s">
        <v>676</v>
      </c>
      <c r="D9" s="535" t="s">
        <v>692</v>
      </c>
      <c r="E9" s="258"/>
      <c r="F9" s="258"/>
      <c r="G9" s="305"/>
      <c r="H9" s="258"/>
      <c r="I9" s="305"/>
      <c r="J9" s="305"/>
      <c r="K9" s="240"/>
      <c r="L9" s="381"/>
      <c r="M9" s="231"/>
      <c r="N9" s="231"/>
    </row>
    <row r="10">
      <c r="A10" s="258">
        <v>7.0</v>
      </c>
      <c r="B10" s="357">
        <v>46146.0</v>
      </c>
      <c r="C10" s="258">
        <v>10000.0</v>
      </c>
      <c r="D10" s="273" t="s">
        <v>693</v>
      </c>
      <c r="E10" s="258" t="s">
        <v>694</v>
      </c>
      <c r="F10" s="258" t="s">
        <v>695</v>
      </c>
      <c r="G10" s="305"/>
      <c r="H10" s="258">
        <v>10000.0</v>
      </c>
      <c r="I10" s="258"/>
      <c r="J10" s="305"/>
      <c r="K10" s="240" t="s">
        <v>20</v>
      </c>
      <c r="L10" s="381"/>
      <c r="M10" s="231"/>
      <c r="N10" s="231"/>
    </row>
    <row r="11">
      <c r="A11" s="258">
        <v>8.0</v>
      </c>
      <c r="B11" s="357"/>
      <c r="C11" s="258">
        <v>8000.0</v>
      </c>
      <c r="D11" s="273" t="s">
        <v>696</v>
      </c>
      <c r="E11" s="258" t="s">
        <v>697</v>
      </c>
      <c r="F11" s="258" t="s">
        <v>698</v>
      </c>
      <c r="G11" s="305"/>
      <c r="H11" s="258">
        <v>24000.0</v>
      </c>
      <c r="I11" s="305"/>
      <c r="J11" s="305"/>
      <c r="K11" s="240" t="s">
        <v>20</v>
      </c>
      <c r="L11" s="381"/>
      <c r="M11" s="231"/>
      <c r="N11" s="231"/>
    </row>
    <row r="12">
      <c r="A12" s="258">
        <v>9.0</v>
      </c>
      <c r="B12" s="357"/>
      <c r="C12" s="258">
        <v>8000.0</v>
      </c>
      <c r="D12" s="273" t="s">
        <v>699</v>
      </c>
      <c r="E12" s="258" t="s">
        <v>700</v>
      </c>
      <c r="F12" s="258" t="s">
        <v>698</v>
      </c>
      <c r="G12" s="305"/>
      <c r="H12" s="258">
        <v>24000.0</v>
      </c>
      <c r="I12" s="305"/>
      <c r="J12" s="305"/>
      <c r="K12" s="240" t="s">
        <v>20</v>
      </c>
      <c r="L12" s="381"/>
      <c r="M12" s="231"/>
      <c r="N12" s="231"/>
    </row>
    <row r="13">
      <c r="A13" s="258">
        <v>10.0</v>
      </c>
      <c r="B13" s="357"/>
      <c r="C13" s="258" t="s">
        <v>514</v>
      </c>
      <c r="D13" s="536" t="s">
        <v>701</v>
      </c>
      <c r="E13" s="258">
        <v>7.74053555E8</v>
      </c>
      <c r="F13" s="258"/>
      <c r="G13" s="305"/>
      <c r="H13" s="258"/>
      <c r="I13" s="305"/>
      <c r="J13" s="305"/>
      <c r="K13" s="231"/>
      <c r="L13" s="381"/>
      <c r="M13" s="231"/>
      <c r="N13" s="231"/>
    </row>
    <row r="14">
      <c r="A14" s="258">
        <v>11.0</v>
      </c>
      <c r="B14" s="357"/>
      <c r="C14" s="258">
        <v>8000.0</v>
      </c>
      <c r="D14" s="536" t="s">
        <v>702</v>
      </c>
      <c r="E14" s="258">
        <v>5.53006119E8</v>
      </c>
      <c r="F14" s="258"/>
      <c r="G14" s="305"/>
      <c r="H14" s="258">
        <v>20000.0</v>
      </c>
      <c r="I14" s="305"/>
      <c r="J14" s="305"/>
      <c r="K14" s="231"/>
      <c r="L14" s="381"/>
      <c r="M14" s="231"/>
      <c r="N14" s="231"/>
    </row>
    <row r="15">
      <c r="A15" s="258">
        <v>12.0</v>
      </c>
      <c r="B15" s="349">
        <v>46170.0</v>
      </c>
      <c r="C15" s="258">
        <v>8000.0</v>
      </c>
      <c r="D15" s="537" t="s">
        <v>703</v>
      </c>
      <c r="E15" s="343">
        <v>7.71260986E8</v>
      </c>
      <c r="F15" s="343">
        <v>5.00182148E8</v>
      </c>
      <c r="G15" s="258" t="s">
        <v>704</v>
      </c>
      <c r="H15" s="306">
        <v>12000.0</v>
      </c>
      <c r="I15" s="305"/>
      <c r="J15" s="305"/>
      <c r="K15" s="344" t="s">
        <v>74</v>
      </c>
      <c r="L15" s="405"/>
      <c r="M15" s="231"/>
      <c r="N15" s="231"/>
    </row>
    <row r="16">
      <c r="A16" s="258">
        <v>13.0</v>
      </c>
      <c r="B16" s="357">
        <v>46172.0</v>
      </c>
      <c r="C16" s="258">
        <v>8000.0</v>
      </c>
      <c r="D16" s="273" t="s">
        <v>705</v>
      </c>
      <c r="E16" s="258">
        <v>5.50217041E8</v>
      </c>
      <c r="F16" s="258">
        <v>5.50217141E8</v>
      </c>
      <c r="G16" s="305"/>
      <c r="H16" s="258">
        <v>23000.0</v>
      </c>
      <c r="I16" s="258"/>
      <c r="J16" s="305"/>
      <c r="K16" s="240" t="s">
        <v>32</v>
      </c>
      <c r="L16" s="381"/>
      <c r="M16" s="231"/>
      <c r="N16" s="231"/>
    </row>
    <row r="17">
      <c r="A17" s="258">
        <v>14.0</v>
      </c>
      <c r="B17" s="357">
        <v>46172.0</v>
      </c>
      <c r="C17" s="258">
        <v>10000.0</v>
      </c>
      <c r="D17" s="273" t="s">
        <v>706</v>
      </c>
      <c r="E17" s="258">
        <v>5.51929203E8</v>
      </c>
      <c r="F17" s="258">
        <v>5.57545556E8</v>
      </c>
      <c r="G17" s="258" t="s">
        <v>707</v>
      </c>
      <c r="H17" s="258">
        <v>10000.0</v>
      </c>
      <c r="I17" s="305"/>
      <c r="J17" s="305"/>
      <c r="K17" s="344" t="s">
        <v>74</v>
      </c>
      <c r="L17" s="381"/>
      <c r="M17" s="231"/>
      <c r="N17" s="231"/>
    </row>
    <row r="18" ht="21.75" customHeight="1">
      <c r="A18" s="258">
        <v>15.0</v>
      </c>
      <c r="B18" s="349">
        <v>46174.0</v>
      </c>
      <c r="C18" s="258">
        <v>10000.0</v>
      </c>
      <c r="D18" s="273" t="s">
        <v>708</v>
      </c>
      <c r="E18" s="258">
        <v>5.57471515E8</v>
      </c>
      <c r="F18" s="305"/>
      <c r="G18" s="305"/>
      <c r="H18" s="258">
        <v>24000.0</v>
      </c>
      <c r="I18" s="305"/>
      <c r="J18" s="305"/>
      <c r="K18" s="344" t="s">
        <v>74</v>
      </c>
      <c r="L18" s="381"/>
      <c r="M18" s="231"/>
      <c r="N18" s="231"/>
    </row>
    <row r="19">
      <c r="A19" s="231"/>
      <c r="B19" s="231"/>
      <c r="C19" s="231"/>
      <c r="D19" s="538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>
      <c r="A20" s="231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Q20" s="138"/>
    </row>
    <row r="21">
      <c r="A21" s="350" t="s">
        <v>709</v>
      </c>
      <c r="B21" s="47"/>
      <c r="C21" s="47"/>
      <c r="D21" s="47"/>
      <c r="E21" s="47"/>
      <c r="F21" s="47"/>
      <c r="G21" s="47"/>
      <c r="H21" s="47"/>
      <c r="I21" s="47"/>
      <c r="J21" s="48"/>
      <c r="K21" s="229">
        <f>SUM(H23:H33)</f>
        <v>72000</v>
      </c>
      <c r="L21" s="231"/>
      <c r="M21" s="231"/>
      <c r="N21" s="231"/>
      <c r="Q21" s="138"/>
    </row>
    <row r="22">
      <c r="A22" s="352" t="s">
        <v>1</v>
      </c>
      <c r="B22" s="352" t="s">
        <v>2</v>
      </c>
      <c r="C22" s="352" t="s">
        <v>3</v>
      </c>
      <c r="D22" s="352" t="s">
        <v>4</v>
      </c>
      <c r="E22" s="352" t="s">
        <v>5</v>
      </c>
      <c r="F22" s="353" t="s">
        <v>6</v>
      </c>
      <c r="G22" s="352" t="s">
        <v>7</v>
      </c>
      <c r="H22" s="354" t="s">
        <v>8</v>
      </c>
      <c r="I22" s="355" t="s">
        <v>9</v>
      </c>
      <c r="J22" s="355" t="s">
        <v>49</v>
      </c>
      <c r="L22" s="231"/>
      <c r="M22" s="231"/>
      <c r="N22" s="231"/>
      <c r="Q22" s="138"/>
    </row>
    <row r="23">
      <c r="A23" s="258">
        <v>1.0</v>
      </c>
      <c r="B23" s="357">
        <v>46160.0</v>
      </c>
      <c r="C23" s="258">
        <v>10000.0</v>
      </c>
      <c r="D23" s="539" t="s">
        <v>710</v>
      </c>
      <c r="E23" s="306">
        <v>5.0149549E8</v>
      </c>
      <c r="F23" s="306">
        <v>7.06676547E8</v>
      </c>
      <c r="G23" s="258" t="s">
        <v>711</v>
      </c>
      <c r="H23" s="306">
        <v>10000.0</v>
      </c>
      <c r="I23" s="305"/>
      <c r="J23" s="305"/>
      <c r="K23" s="231"/>
      <c r="L23" s="436" t="s">
        <v>32</v>
      </c>
      <c r="M23" s="240" t="s">
        <v>712</v>
      </c>
      <c r="N23" s="240" t="s">
        <v>713</v>
      </c>
      <c r="Q23" s="138"/>
    </row>
    <row r="24">
      <c r="A24" s="258">
        <v>2.0</v>
      </c>
      <c r="B24" s="349"/>
      <c r="C24" s="258">
        <v>10000.0</v>
      </c>
      <c r="D24" s="536" t="s">
        <v>714</v>
      </c>
      <c r="E24" s="258">
        <v>5.53588868E8</v>
      </c>
      <c r="F24" s="258">
        <v>5.557081E8</v>
      </c>
      <c r="G24" s="258"/>
      <c r="H24" s="306">
        <v>8000.0</v>
      </c>
      <c r="I24" s="305"/>
      <c r="J24" s="305"/>
      <c r="K24" s="231"/>
      <c r="L24" s="248"/>
      <c r="M24" s="231"/>
      <c r="N24" s="231"/>
    </row>
    <row r="25">
      <c r="A25" s="258">
        <v>3.0</v>
      </c>
      <c r="B25" s="357">
        <v>46171.0</v>
      </c>
      <c r="C25" s="258">
        <v>8000.0</v>
      </c>
      <c r="D25" s="379" t="s">
        <v>715</v>
      </c>
      <c r="E25" s="306" t="s">
        <v>716</v>
      </c>
      <c r="F25" s="524" t="s">
        <v>717</v>
      </c>
      <c r="G25" s="305"/>
      <c r="H25" s="306">
        <v>24000.0</v>
      </c>
      <c r="I25" s="305"/>
      <c r="J25" s="305"/>
      <c r="K25" s="231"/>
      <c r="L25" s="437" t="s">
        <v>246</v>
      </c>
      <c r="M25" s="231"/>
      <c r="N25" s="231"/>
    </row>
    <row r="26">
      <c r="A26" s="258">
        <v>4.0</v>
      </c>
      <c r="B26" s="357">
        <v>46174.0</v>
      </c>
      <c r="C26" s="258">
        <v>10000.0</v>
      </c>
      <c r="D26" s="540" t="s">
        <v>718</v>
      </c>
      <c r="E26" s="306" t="s">
        <v>719</v>
      </c>
      <c r="F26" s="258">
        <v>9.96501749777E11</v>
      </c>
      <c r="G26" s="305"/>
      <c r="H26" s="306">
        <v>10000.0</v>
      </c>
      <c r="I26" s="305"/>
      <c r="J26" s="305"/>
      <c r="K26" s="231"/>
      <c r="L26" s="437" t="s">
        <v>32</v>
      </c>
      <c r="M26" s="231"/>
      <c r="N26" s="231"/>
    </row>
    <row r="27">
      <c r="A27" s="258">
        <v>5.0</v>
      </c>
      <c r="B27" s="349">
        <v>46163.0</v>
      </c>
      <c r="C27" s="258">
        <v>10000.0</v>
      </c>
      <c r="D27" s="273" t="s">
        <v>720</v>
      </c>
      <c r="E27" s="258" t="s">
        <v>721</v>
      </c>
      <c r="F27" s="258" t="s">
        <v>312</v>
      </c>
      <c r="G27" s="305"/>
      <c r="H27" s="258">
        <v>10000.0</v>
      </c>
      <c r="I27" s="305"/>
      <c r="J27" s="258"/>
      <c r="K27" s="231"/>
      <c r="L27" s="240" t="s">
        <v>20</v>
      </c>
      <c r="M27" s="231"/>
      <c r="N27" s="231"/>
    </row>
    <row r="28">
      <c r="A28" s="258">
        <v>6.0</v>
      </c>
      <c r="B28" s="305"/>
      <c r="C28" s="258"/>
      <c r="D28" s="541" t="s">
        <v>722</v>
      </c>
      <c r="E28" s="306">
        <v>5.55844644E8</v>
      </c>
      <c r="F28" s="305"/>
      <c r="G28" s="305"/>
      <c r="H28" s="306"/>
      <c r="I28" s="305"/>
      <c r="J28" s="305"/>
      <c r="K28" s="231"/>
      <c r="L28" s="240" t="s">
        <v>193</v>
      </c>
      <c r="M28" s="231"/>
      <c r="N28" s="231"/>
    </row>
    <row r="29">
      <c r="A29" s="258">
        <v>7.0</v>
      </c>
      <c r="B29" s="305"/>
      <c r="C29" s="258"/>
      <c r="D29" s="542" t="s">
        <v>723</v>
      </c>
      <c r="E29" s="306">
        <v>5.58061981E8</v>
      </c>
      <c r="F29" s="305"/>
      <c r="G29" s="305"/>
      <c r="H29" s="306"/>
      <c r="I29" s="305"/>
      <c r="J29" s="305"/>
      <c r="K29" s="231"/>
      <c r="L29" s="240" t="s">
        <v>193</v>
      </c>
      <c r="M29" s="231"/>
      <c r="N29" s="231"/>
    </row>
    <row r="30">
      <c r="A30" s="258">
        <v>8.0</v>
      </c>
      <c r="B30" s="305"/>
      <c r="C30" s="258">
        <v>10000.0</v>
      </c>
      <c r="D30" s="536" t="s">
        <v>724</v>
      </c>
      <c r="E30" s="306">
        <v>7.76631483E8</v>
      </c>
      <c r="F30" s="305"/>
      <c r="G30" s="305"/>
      <c r="H30" s="306">
        <v>10000.0</v>
      </c>
      <c r="I30" s="305"/>
      <c r="J30" s="305"/>
      <c r="K30" s="231"/>
      <c r="L30" s="240" t="s">
        <v>193</v>
      </c>
      <c r="M30" s="231"/>
      <c r="N30" s="231"/>
    </row>
    <row r="31">
      <c r="A31" s="258">
        <v>9.0</v>
      </c>
      <c r="B31" s="305"/>
      <c r="C31" s="258"/>
      <c r="D31" s="536" t="s">
        <v>725</v>
      </c>
      <c r="E31" s="258">
        <v>5.53640904E8</v>
      </c>
      <c r="F31" s="305"/>
      <c r="G31" s="305"/>
      <c r="H31" s="258"/>
      <c r="I31" s="305"/>
      <c r="J31" s="305"/>
      <c r="K31" s="231"/>
      <c r="L31" s="240" t="s">
        <v>193</v>
      </c>
      <c r="M31" s="231"/>
      <c r="N31" s="231"/>
    </row>
    <row r="32">
      <c r="A32" s="258">
        <v>10.0</v>
      </c>
      <c r="B32" s="305"/>
      <c r="C32" s="258"/>
      <c r="D32" s="542" t="s">
        <v>726</v>
      </c>
      <c r="E32" s="258">
        <v>5.0904201E8</v>
      </c>
      <c r="F32" s="258"/>
      <c r="G32" s="305"/>
      <c r="H32" s="258"/>
      <c r="I32" s="305"/>
      <c r="J32" s="305"/>
      <c r="K32" s="231"/>
      <c r="L32" s="240" t="s">
        <v>193</v>
      </c>
      <c r="M32" s="231"/>
      <c r="N32" s="231"/>
    </row>
    <row r="33" ht="19.5" customHeight="1">
      <c r="A33" s="258">
        <v>11.0</v>
      </c>
      <c r="B33" s="305"/>
      <c r="C33" s="258"/>
      <c r="D33" s="536" t="s">
        <v>727</v>
      </c>
      <c r="E33" s="258">
        <v>5.54450745E8</v>
      </c>
      <c r="F33" s="258"/>
      <c r="G33" s="305"/>
      <c r="H33" s="258"/>
      <c r="I33" s="305"/>
      <c r="J33" s="305"/>
      <c r="K33" s="231"/>
      <c r="L33" s="240" t="s">
        <v>193</v>
      </c>
      <c r="M33" s="231"/>
      <c r="N33" s="231"/>
    </row>
    <row r="34">
      <c r="A34" s="258">
        <v>12.0</v>
      </c>
      <c r="B34" s="256">
        <v>46171.0</v>
      </c>
      <c r="C34" s="243">
        <v>8000.0</v>
      </c>
      <c r="D34" s="405" t="s">
        <v>728</v>
      </c>
      <c r="E34" s="258">
        <v>5.50220011E8</v>
      </c>
      <c r="F34" s="258">
        <v>5.51515287E8</v>
      </c>
      <c r="G34" s="254"/>
      <c r="H34" s="258">
        <v>24000.0</v>
      </c>
      <c r="I34" s="255"/>
      <c r="J34" s="247"/>
      <c r="K34" s="231"/>
      <c r="L34" s="248" t="s">
        <v>32</v>
      </c>
      <c r="M34" s="231"/>
      <c r="N34" s="231"/>
    </row>
    <row r="35">
      <c r="A35" s="258">
        <v>13.0</v>
      </c>
      <c r="B35" s="543"/>
      <c r="C35" s="273"/>
      <c r="D35" s="277" t="s">
        <v>729</v>
      </c>
      <c r="E35" s="273"/>
      <c r="F35" s="273"/>
      <c r="G35" s="543"/>
      <c r="H35" s="273"/>
      <c r="I35" s="543"/>
      <c r="J35" s="543"/>
      <c r="K35" s="381"/>
      <c r="L35" s="405" t="s">
        <v>74</v>
      </c>
      <c r="M35" s="405"/>
      <c r="N35" s="381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>
      <c r="A36" s="258">
        <v>14.0</v>
      </c>
      <c r="B36" s="349">
        <v>46175.0</v>
      </c>
      <c r="C36" s="258">
        <v>10000.0</v>
      </c>
      <c r="D36" s="273" t="s">
        <v>730</v>
      </c>
      <c r="E36" s="258">
        <v>5.09007575E8</v>
      </c>
      <c r="F36" s="305"/>
      <c r="G36" s="305"/>
      <c r="H36" s="258">
        <v>24000.0</v>
      </c>
      <c r="I36" s="305"/>
      <c r="J36" s="305"/>
      <c r="K36" s="231"/>
      <c r="L36" s="344" t="s">
        <v>25</v>
      </c>
      <c r="M36" s="231"/>
      <c r="N36" s="231"/>
    </row>
    <row r="37">
      <c r="A37" s="258">
        <v>15.0</v>
      </c>
      <c r="B37" s="524"/>
      <c r="C37" s="524"/>
      <c r="D37" s="544" t="s">
        <v>731</v>
      </c>
      <c r="E37" s="524" t="s">
        <v>732</v>
      </c>
      <c r="F37" s="524" t="s">
        <v>733</v>
      </c>
      <c r="G37" s="524"/>
      <c r="H37" s="524">
        <v>10000.0</v>
      </c>
      <c r="I37" s="524"/>
      <c r="J37" s="524"/>
      <c r="K37" s="545"/>
      <c r="L37" s="240" t="s">
        <v>193</v>
      </c>
      <c r="M37" s="231"/>
      <c r="N37" s="231"/>
    </row>
    <row r="38">
      <c r="A38" s="258"/>
      <c r="B38" s="538"/>
      <c r="C38" s="538"/>
      <c r="D38" s="538" t="s">
        <v>734</v>
      </c>
      <c r="E38" s="538"/>
      <c r="F38" s="546"/>
      <c r="G38" s="538"/>
      <c r="H38" s="547">
        <v>10000.0</v>
      </c>
      <c r="I38" s="231"/>
      <c r="J38" s="231"/>
      <c r="L38" s="231"/>
      <c r="M38" s="231"/>
      <c r="N38" s="231"/>
    </row>
    <row r="39">
      <c r="A39" s="231"/>
      <c r="B39" s="548">
        <v>46196.0</v>
      </c>
      <c r="C39" s="231"/>
      <c r="D39" s="549" t="s">
        <v>735</v>
      </c>
      <c r="E39" s="549"/>
      <c r="F39" s="231"/>
      <c r="G39" s="231"/>
      <c r="H39" s="549"/>
      <c r="I39" s="231"/>
      <c r="J39" s="231"/>
      <c r="K39" s="231"/>
      <c r="L39" s="240" t="s">
        <v>74</v>
      </c>
      <c r="M39" s="231"/>
      <c r="N39" s="231"/>
    </row>
    <row r="40">
      <c r="A40" s="231"/>
      <c r="B40" s="231"/>
      <c r="C40" s="231"/>
      <c r="D40" s="549"/>
      <c r="E40" s="549" t="s">
        <v>736</v>
      </c>
      <c r="F40" s="550">
        <v>0.10416666666666667</v>
      </c>
      <c r="G40" s="240" t="s">
        <v>737</v>
      </c>
      <c r="H40" s="549"/>
      <c r="I40" s="231"/>
      <c r="J40" s="231"/>
      <c r="K40" s="231"/>
      <c r="L40" s="231"/>
      <c r="M40" s="231"/>
      <c r="N40" s="231"/>
    </row>
    <row r="41">
      <c r="A41" s="231"/>
      <c r="B41" s="231"/>
      <c r="C41" s="231"/>
      <c r="D41" s="549"/>
      <c r="E41" s="549" t="s">
        <v>738</v>
      </c>
      <c r="F41" s="550">
        <v>0.7708333333333334</v>
      </c>
      <c r="G41" s="240" t="s">
        <v>737</v>
      </c>
      <c r="H41" s="549"/>
      <c r="I41" s="231"/>
      <c r="J41" s="231"/>
      <c r="K41" s="231"/>
      <c r="L41" s="231"/>
      <c r="M41" s="231"/>
      <c r="N41" s="231"/>
    </row>
    <row r="42">
      <c r="A42" s="231"/>
      <c r="B42" s="231"/>
      <c r="C42" s="231"/>
      <c r="D42" s="549"/>
      <c r="E42" s="549"/>
      <c r="F42" s="231"/>
      <c r="G42" s="231"/>
      <c r="H42" s="549"/>
      <c r="I42" s="231"/>
      <c r="J42" s="231"/>
      <c r="K42" s="231"/>
      <c r="L42" s="231"/>
      <c r="M42" s="231"/>
      <c r="N42" s="231"/>
    </row>
    <row r="43">
      <c r="A43" s="231"/>
      <c r="B43" s="231"/>
      <c r="C43" s="231"/>
      <c r="D43" s="549"/>
      <c r="E43" s="549"/>
      <c r="F43" s="231"/>
      <c r="G43" s="231"/>
      <c r="H43" s="549"/>
      <c r="I43" s="231"/>
      <c r="J43" s="231"/>
      <c r="K43" s="231"/>
      <c r="L43" s="231"/>
      <c r="M43" s="231"/>
      <c r="N43" s="231"/>
    </row>
    <row r="44">
      <c r="A44" s="231"/>
      <c r="B44" s="231"/>
      <c r="C44" s="231"/>
      <c r="D44" s="549"/>
      <c r="E44" s="549"/>
      <c r="F44" s="231"/>
      <c r="G44" s="231"/>
      <c r="H44" s="549"/>
      <c r="I44" s="231"/>
      <c r="J44" s="231"/>
      <c r="K44" s="231"/>
      <c r="L44" s="231"/>
      <c r="M44" s="231"/>
      <c r="N44" s="231"/>
    </row>
    <row r="45">
      <c r="A45" s="231"/>
      <c r="B45" s="231"/>
      <c r="C45" s="231"/>
      <c r="D45" s="549"/>
      <c r="E45" s="549"/>
      <c r="F45" s="231"/>
      <c r="G45" s="231"/>
      <c r="H45" s="549"/>
      <c r="I45" s="231"/>
      <c r="J45" s="231"/>
      <c r="K45" s="231"/>
      <c r="L45" s="231"/>
      <c r="M45" s="231"/>
      <c r="N45" s="231"/>
    </row>
    <row r="46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</row>
    <row r="47">
      <c r="A47" s="231"/>
      <c r="B47" s="231"/>
      <c r="C47" s="231"/>
      <c r="D47" s="551"/>
      <c r="E47" s="231"/>
      <c r="F47" s="231"/>
      <c r="G47" s="231"/>
      <c r="H47" s="231"/>
      <c r="I47" s="231"/>
      <c r="J47" s="231"/>
      <c r="K47" s="231"/>
      <c r="L47" s="231"/>
      <c r="M47" s="231"/>
      <c r="N47" s="231"/>
    </row>
    <row r="48">
      <c r="A48" s="231"/>
      <c r="B48" s="231"/>
      <c r="C48" s="231"/>
      <c r="D48" s="552" t="s">
        <v>739</v>
      </c>
      <c r="E48" s="240" t="s">
        <v>740</v>
      </c>
      <c r="F48" s="231"/>
      <c r="G48" s="231"/>
      <c r="H48" s="231"/>
      <c r="I48" s="231"/>
      <c r="J48" s="231"/>
      <c r="K48" s="231"/>
      <c r="L48" s="231"/>
      <c r="M48" s="231"/>
      <c r="N48" s="231"/>
    </row>
    <row r="49">
      <c r="A49" s="231"/>
      <c r="B49" s="231"/>
      <c r="C49" s="231"/>
      <c r="D49" s="552" t="s">
        <v>741</v>
      </c>
      <c r="E49" s="240" t="s">
        <v>742</v>
      </c>
      <c r="F49" s="231"/>
      <c r="G49" s="231"/>
      <c r="H49" s="231"/>
      <c r="I49" s="231"/>
      <c r="J49" s="231"/>
      <c r="K49" s="231"/>
      <c r="L49" s="231"/>
      <c r="M49" s="231"/>
      <c r="N49" s="231"/>
    </row>
    <row r="50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</row>
    <row r="51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</row>
    <row r="52">
      <c r="A52" s="231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</row>
    <row r="53">
      <c r="A53" s="231"/>
      <c r="B53" s="231"/>
      <c r="C53" s="231"/>
      <c r="D53" s="231"/>
      <c r="E53" s="240" t="s">
        <v>743</v>
      </c>
      <c r="F53" s="231"/>
      <c r="G53" s="231"/>
      <c r="H53" s="231"/>
      <c r="I53" s="231"/>
      <c r="J53" s="231"/>
      <c r="K53" s="231"/>
      <c r="L53" s="231"/>
      <c r="M53" s="231"/>
      <c r="N53" s="231"/>
    </row>
    <row r="54">
      <c r="A54" s="231"/>
      <c r="B54" s="231"/>
      <c r="C54" s="231"/>
      <c r="D54" s="231"/>
      <c r="E54" s="240" t="s">
        <v>744</v>
      </c>
      <c r="F54" s="231"/>
      <c r="G54" s="231"/>
      <c r="H54" s="231"/>
      <c r="I54" s="231"/>
      <c r="J54" s="231"/>
      <c r="K54" s="231"/>
      <c r="L54" s="231"/>
      <c r="M54" s="231"/>
      <c r="N54" s="231"/>
    </row>
    <row r="55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</row>
    <row r="56">
      <c r="A56" s="231"/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</row>
    <row r="57">
      <c r="A57" s="538"/>
      <c r="K57" s="545"/>
      <c r="L57" s="231"/>
      <c r="M57" s="231"/>
      <c r="N57" s="231"/>
    </row>
    <row r="58">
      <c r="A58" s="350" t="s">
        <v>745</v>
      </c>
      <c r="B58" s="47"/>
      <c r="C58" s="47"/>
      <c r="D58" s="47"/>
      <c r="E58" s="47"/>
      <c r="F58" s="47"/>
      <c r="G58" s="47"/>
      <c r="H58" s="47"/>
      <c r="I58" s="47"/>
      <c r="J58" s="48"/>
      <c r="L58" s="231"/>
      <c r="M58" s="231"/>
      <c r="N58" s="231"/>
    </row>
    <row r="59">
      <c r="A59" s="352" t="s">
        <v>1</v>
      </c>
      <c r="B59" s="352" t="s">
        <v>2</v>
      </c>
      <c r="C59" s="352" t="s">
        <v>3</v>
      </c>
      <c r="D59" s="352" t="s">
        <v>4</v>
      </c>
      <c r="E59" s="352" t="s">
        <v>5</v>
      </c>
      <c r="F59" s="353" t="s">
        <v>6</v>
      </c>
      <c r="G59" s="352" t="s">
        <v>7</v>
      </c>
      <c r="H59" s="354" t="s">
        <v>8</v>
      </c>
      <c r="I59" s="355" t="s">
        <v>9</v>
      </c>
      <c r="J59" s="355" t="s">
        <v>49</v>
      </c>
      <c r="K59" s="231"/>
      <c r="L59" s="231"/>
      <c r="M59" s="231"/>
      <c r="N59" s="231"/>
    </row>
    <row r="60">
      <c r="A60" s="258">
        <v>1.0</v>
      </c>
      <c r="B60" s="272" t="s">
        <v>746</v>
      </c>
      <c r="C60" s="243"/>
      <c r="D60" s="257" t="s">
        <v>747</v>
      </c>
      <c r="E60" s="258">
        <v>9.96220421594E11</v>
      </c>
      <c r="F60" s="258">
        <v>9.96778770116E11</v>
      </c>
      <c r="G60" s="254"/>
      <c r="H60" s="258">
        <v>10000.0</v>
      </c>
      <c r="I60" s="255"/>
      <c r="J60" s="247"/>
      <c r="K60" s="437" t="s">
        <v>32</v>
      </c>
      <c r="L60" s="231"/>
      <c r="M60" s="231"/>
      <c r="N60" s="231"/>
    </row>
    <row r="61">
      <c r="A61" s="258">
        <v>2.0</v>
      </c>
      <c r="B61" s="357">
        <v>46162.0</v>
      </c>
      <c r="C61" s="258">
        <v>1000.0</v>
      </c>
      <c r="D61" s="257" t="s">
        <v>748</v>
      </c>
      <c r="E61" s="258">
        <v>5.07707101E8</v>
      </c>
      <c r="F61" s="258">
        <v>7.7273177E8</v>
      </c>
      <c r="G61" s="305"/>
      <c r="H61" s="258">
        <v>10000.0</v>
      </c>
      <c r="I61" s="305"/>
      <c r="J61" s="305"/>
      <c r="K61" s="240" t="s">
        <v>193</v>
      </c>
      <c r="L61" s="381"/>
      <c r="M61" s="231"/>
      <c r="N61" s="231"/>
    </row>
    <row r="62">
      <c r="A62" s="258">
        <v>3.0</v>
      </c>
      <c r="B62" s="357">
        <v>46183.0</v>
      </c>
      <c r="C62" s="258">
        <v>20000.0</v>
      </c>
      <c r="D62" s="379" t="s">
        <v>749</v>
      </c>
      <c r="E62" s="306">
        <v>5.59111494E8</v>
      </c>
      <c r="F62" s="524">
        <v>5.51080871E8</v>
      </c>
      <c r="G62" s="305"/>
      <c r="H62" s="306">
        <v>20000.0</v>
      </c>
      <c r="I62" s="305"/>
      <c r="J62" s="305"/>
      <c r="K62" s="344" t="s">
        <v>74</v>
      </c>
      <c r="L62" s="231"/>
      <c r="M62" s="231"/>
      <c r="N62" s="231"/>
    </row>
    <row r="63">
      <c r="A63" s="258">
        <v>4.0</v>
      </c>
      <c r="B63" s="357">
        <v>46179.0</v>
      </c>
      <c r="C63" s="258">
        <v>10000.0</v>
      </c>
      <c r="D63" s="540" t="s">
        <v>750</v>
      </c>
      <c r="E63" s="306">
        <v>2.2208044E8</v>
      </c>
      <c r="F63" s="258">
        <v>5.51117706E8</v>
      </c>
      <c r="G63" s="305"/>
      <c r="H63" s="306">
        <v>19000.0</v>
      </c>
      <c r="I63" s="305"/>
      <c r="J63" s="305"/>
      <c r="K63" s="437" t="s">
        <v>32</v>
      </c>
      <c r="L63" s="231"/>
      <c r="M63" s="231"/>
      <c r="N63" s="231"/>
    </row>
    <row r="64">
      <c r="A64" s="553">
        <v>5.0</v>
      </c>
      <c r="B64" s="554">
        <v>46181.0</v>
      </c>
      <c r="C64" s="553">
        <v>20000.0</v>
      </c>
      <c r="D64" s="553" t="s">
        <v>751</v>
      </c>
      <c r="E64" s="553">
        <v>5.0824344E8</v>
      </c>
      <c r="F64" s="553"/>
      <c r="G64" s="555"/>
      <c r="H64" s="553">
        <v>20000.0</v>
      </c>
      <c r="I64" s="555"/>
      <c r="J64" s="553"/>
      <c r="K64" s="556" t="s">
        <v>74</v>
      </c>
      <c r="L64" s="556" t="s">
        <v>752</v>
      </c>
      <c r="M64" s="557"/>
      <c r="N64" s="557"/>
      <c r="O64" s="558"/>
      <c r="P64" s="558"/>
      <c r="Q64" s="558"/>
      <c r="R64" s="558"/>
      <c r="S64" s="558"/>
      <c r="T64" s="558"/>
      <c r="U64" s="558"/>
      <c r="V64" s="558"/>
      <c r="W64" s="558"/>
      <c r="X64" s="558"/>
      <c r="Y64" s="558"/>
      <c r="Z64" s="558"/>
      <c r="AA64" s="558"/>
      <c r="AB64" s="558"/>
    </row>
    <row r="65">
      <c r="A65" s="258">
        <v>6.0</v>
      </c>
      <c r="B65" s="349">
        <v>46181.0</v>
      </c>
      <c r="C65" s="258">
        <v>10000.0</v>
      </c>
      <c r="D65" s="559" t="s">
        <v>753</v>
      </c>
      <c r="E65" s="306">
        <v>5.50555333E8</v>
      </c>
      <c r="F65" s="258">
        <v>5.55388817E8</v>
      </c>
      <c r="G65" s="305"/>
      <c r="H65" s="306">
        <v>10000.0</v>
      </c>
      <c r="I65" s="305"/>
      <c r="J65" s="305"/>
      <c r="K65" s="344" t="s">
        <v>74</v>
      </c>
      <c r="L65" s="231"/>
      <c r="M65" s="231"/>
      <c r="N65" s="231"/>
    </row>
    <row r="66">
      <c r="A66" s="258">
        <v>7.0</v>
      </c>
      <c r="B66" s="305"/>
      <c r="C66" s="258"/>
      <c r="D66" s="257" t="s">
        <v>754</v>
      </c>
      <c r="E66" s="306">
        <v>7.79434988E8</v>
      </c>
      <c r="F66" s="305"/>
      <c r="G66" s="305"/>
      <c r="H66" s="306"/>
      <c r="I66" s="305"/>
      <c r="J66" s="305"/>
      <c r="K66" s="240" t="s">
        <v>755</v>
      </c>
      <c r="L66" s="231"/>
      <c r="M66" s="231"/>
      <c r="N66" s="231"/>
    </row>
    <row r="67">
      <c r="A67" s="258">
        <v>8.0</v>
      </c>
      <c r="B67" s="349">
        <v>46185.0</v>
      </c>
      <c r="C67" s="258"/>
      <c r="D67" s="257" t="s">
        <v>756</v>
      </c>
      <c r="E67" s="306" t="s">
        <v>757</v>
      </c>
      <c r="F67" s="258">
        <v>9.96997476847E11</v>
      </c>
      <c r="G67" s="305"/>
      <c r="H67" s="306">
        <v>9000.0</v>
      </c>
      <c r="I67" s="305"/>
      <c r="J67" s="305"/>
      <c r="K67" s="436" t="s">
        <v>32</v>
      </c>
      <c r="L67" s="240" t="s">
        <v>758</v>
      </c>
      <c r="M67" s="231"/>
      <c r="N67" s="231"/>
    </row>
    <row r="68">
      <c r="A68" s="258">
        <v>9.0</v>
      </c>
      <c r="B68" s="349">
        <v>46188.0</v>
      </c>
      <c r="C68" s="258">
        <v>10000.0</v>
      </c>
      <c r="D68" s="405" t="s">
        <v>759</v>
      </c>
      <c r="E68" s="258">
        <v>5.57727772E8</v>
      </c>
      <c r="F68" s="305"/>
      <c r="G68" s="305"/>
      <c r="H68" s="258">
        <v>10000.0</v>
      </c>
      <c r="I68" s="305"/>
      <c r="J68" s="305"/>
      <c r="K68" s="344" t="s">
        <v>74</v>
      </c>
      <c r="L68" s="231"/>
      <c r="M68" s="231"/>
      <c r="N68" s="231"/>
    </row>
    <row r="69">
      <c r="A69" s="258">
        <v>10.0</v>
      </c>
      <c r="B69" s="349">
        <v>46188.0</v>
      </c>
      <c r="C69" s="258">
        <v>10000.0</v>
      </c>
      <c r="D69" s="536" t="s">
        <v>760</v>
      </c>
      <c r="E69" s="258" t="s">
        <v>761</v>
      </c>
      <c r="F69" s="258">
        <v>9.96997107704E11</v>
      </c>
      <c r="G69" s="305"/>
      <c r="H69" s="258">
        <v>10000.0</v>
      </c>
      <c r="I69" s="305"/>
      <c r="J69" s="305"/>
      <c r="K69" s="240" t="s">
        <v>32</v>
      </c>
      <c r="L69" s="231"/>
      <c r="M69" s="231"/>
      <c r="N69" s="231"/>
    </row>
    <row r="70">
      <c r="A70" s="258">
        <v>11.0</v>
      </c>
      <c r="B70" s="560">
        <v>46167.0</v>
      </c>
      <c r="C70" s="360">
        <v>10000.0</v>
      </c>
      <c r="D70" s="561" t="s">
        <v>762</v>
      </c>
      <c r="E70" s="360" t="s">
        <v>763</v>
      </c>
      <c r="F70" s="360" t="s">
        <v>764</v>
      </c>
      <c r="G70" s="562"/>
      <c r="H70" s="466">
        <v>30000.0</v>
      </c>
      <c r="I70" s="419"/>
      <c r="J70" s="419"/>
      <c r="K70" s="419"/>
      <c r="L70" s="252" t="s">
        <v>765</v>
      </c>
      <c r="M70" s="305"/>
      <c r="N70" s="563" t="s">
        <v>20</v>
      </c>
    </row>
    <row r="71" ht="19.5" customHeight="1">
      <c r="A71" s="258">
        <v>12.0</v>
      </c>
      <c r="B71" s="548">
        <v>46175.0</v>
      </c>
      <c r="C71" s="240">
        <v>20000.0</v>
      </c>
      <c r="D71" s="343" t="s">
        <v>766</v>
      </c>
      <c r="E71" s="240">
        <v>5.55430018E8</v>
      </c>
      <c r="F71" s="252">
        <v>5.56190101E8</v>
      </c>
      <c r="G71" s="231"/>
      <c r="H71" s="240">
        <v>20000.0</v>
      </c>
      <c r="I71" s="231"/>
      <c r="J71" s="231"/>
      <c r="K71" s="344" t="s">
        <v>74</v>
      </c>
      <c r="L71" s="231"/>
      <c r="M71" s="231"/>
      <c r="N71" s="231"/>
    </row>
    <row r="72">
      <c r="A72" s="258">
        <v>13.0</v>
      </c>
      <c r="B72" s="370">
        <v>46192.0</v>
      </c>
      <c r="C72" s="336">
        <v>20000.0</v>
      </c>
      <c r="D72" s="248" t="s">
        <v>767</v>
      </c>
      <c r="E72" s="336" t="s">
        <v>768</v>
      </c>
      <c r="F72" s="336" t="s">
        <v>769</v>
      </c>
      <c r="G72" s="363"/>
      <c r="H72" s="336">
        <v>20000.0</v>
      </c>
      <c r="I72" s="363"/>
      <c r="J72" s="363"/>
      <c r="K72" s="248" t="s">
        <v>20</v>
      </c>
      <c r="L72" s="248" t="s">
        <v>257</v>
      </c>
      <c r="M72" s="231"/>
      <c r="N72" s="231"/>
    </row>
    <row r="73">
      <c r="A73" s="258">
        <v>14.0</v>
      </c>
      <c r="B73" s="349">
        <v>46191.0</v>
      </c>
      <c r="C73" s="258">
        <v>10000.0</v>
      </c>
      <c r="D73" s="336" t="s">
        <v>770</v>
      </c>
      <c r="E73" s="258" t="s">
        <v>771</v>
      </c>
      <c r="F73" s="258" t="s">
        <v>772</v>
      </c>
      <c r="G73" s="305"/>
      <c r="H73" s="258">
        <v>9000.0</v>
      </c>
      <c r="I73" s="305"/>
      <c r="J73" s="305"/>
      <c r="K73" s="240" t="s">
        <v>20</v>
      </c>
      <c r="L73" s="240" t="s">
        <v>773</v>
      </c>
      <c r="M73" s="231"/>
      <c r="N73" s="231"/>
    </row>
    <row r="74">
      <c r="A74" s="258">
        <v>15.0</v>
      </c>
      <c r="B74" s="564">
        <v>46195.0</v>
      </c>
      <c r="C74" s="524">
        <v>20000.0</v>
      </c>
      <c r="D74" s="336" t="s">
        <v>774</v>
      </c>
      <c r="E74" s="524">
        <v>5.50206075E8</v>
      </c>
      <c r="F74" s="524">
        <v>5.599393E8</v>
      </c>
      <c r="G74" s="524"/>
      <c r="H74" s="524">
        <v>10000.0</v>
      </c>
      <c r="I74" s="524"/>
      <c r="J74" s="524"/>
      <c r="K74" s="344" t="s">
        <v>74</v>
      </c>
      <c r="L74" s="231"/>
      <c r="M74" s="231"/>
      <c r="N74" s="231"/>
    </row>
    <row r="75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</row>
    <row r="7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</row>
    <row r="77">
      <c r="A77" s="258">
        <v>2.0</v>
      </c>
      <c r="B77" s="565">
        <v>46174.0</v>
      </c>
      <c r="C77" s="263">
        <v>10000.0</v>
      </c>
      <c r="D77" s="365" t="s">
        <v>775</v>
      </c>
      <c r="E77" s="263">
        <v>9.96706483971E11</v>
      </c>
      <c r="F77" s="263" t="s">
        <v>776</v>
      </c>
      <c r="G77" s="263"/>
      <c r="H77" s="566">
        <v>10000.0</v>
      </c>
      <c r="I77" s="305"/>
      <c r="J77" s="305"/>
      <c r="K77" s="437" t="s">
        <v>32</v>
      </c>
      <c r="L77" s="240" t="s">
        <v>777</v>
      </c>
      <c r="M77" s="231"/>
      <c r="N77" s="231"/>
    </row>
    <row r="78">
      <c r="A78" s="231"/>
      <c r="B78" s="565">
        <v>46192.0</v>
      </c>
      <c r="C78" s="263">
        <v>10000.0</v>
      </c>
      <c r="D78" s="365" t="s">
        <v>778</v>
      </c>
      <c r="E78" s="263">
        <v>9.96503332875E11</v>
      </c>
      <c r="F78" s="263">
        <v>9.96701901099E11</v>
      </c>
      <c r="G78" s="263"/>
      <c r="H78" s="566">
        <v>15000.0</v>
      </c>
      <c r="I78" s="305"/>
      <c r="J78" s="305"/>
      <c r="K78" s="437" t="s">
        <v>32</v>
      </c>
      <c r="L78" s="240" t="s">
        <v>777</v>
      </c>
      <c r="M78" s="231"/>
      <c r="N78" s="231"/>
    </row>
    <row r="79">
      <c r="A79" s="231"/>
      <c r="B79" s="349">
        <v>46198.0</v>
      </c>
      <c r="C79" s="258">
        <v>12000.0</v>
      </c>
      <c r="D79" s="306" t="s">
        <v>779</v>
      </c>
      <c r="E79" s="306">
        <v>9.96558461421E11</v>
      </c>
      <c r="F79" s="258" t="s">
        <v>780</v>
      </c>
      <c r="G79" s="305"/>
      <c r="H79" s="306">
        <v>12000.0</v>
      </c>
      <c r="I79" s="305"/>
      <c r="J79" s="305"/>
      <c r="K79" s="258" t="s">
        <v>246</v>
      </c>
      <c r="L79" s="240" t="s">
        <v>781</v>
      </c>
      <c r="M79" s="231"/>
      <c r="N79" s="231"/>
    </row>
    <row r="80">
      <c r="A80" s="231"/>
      <c r="B80" s="240" t="s">
        <v>782</v>
      </c>
      <c r="C80" s="231"/>
      <c r="D80" s="567" t="s">
        <v>783</v>
      </c>
      <c r="E80" s="549"/>
      <c r="F80" s="231"/>
      <c r="G80" s="231"/>
      <c r="H80" s="549"/>
      <c r="I80" s="231"/>
      <c r="J80" s="231"/>
      <c r="K80" s="231"/>
      <c r="L80" s="231"/>
      <c r="M80" s="231"/>
      <c r="N80" s="231"/>
    </row>
    <row r="81">
      <c r="D81" s="227"/>
      <c r="E81" s="227"/>
      <c r="H81" s="227"/>
    </row>
    <row r="82">
      <c r="D82" s="227"/>
      <c r="E82" s="227"/>
      <c r="H82" s="227"/>
    </row>
    <row r="83">
      <c r="D83" s="227"/>
      <c r="E83" s="227"/>
      <c r="H83" s="227"/>
    </row>
    <row r="84">
      <c r="D84" s="227"/>
      <c r="E84" s="227"/>
      <c r="H84" s="227"/>
    </row>
    <row r="85">
      <c r="D85" s="227"/>
      <c r="E85" s="227"/>
      <c r="H85" s="227"/>
    </row>
    <row r="86">
      <c r="D86" s="227"/>
      <c r="E86" s="227"/>
      <c r="H86" s="227"/>
    </row>
    <row r="87">
      <c r="D87" s="227"/>
      <c r="E87" s="227"/>
      <c r="H87" s="227"/>
    </row>
    <row r="88">
      <c r="D88" s="227"/>
      <c r="E88" s="227"/>
      <c r="H88" s="227"/>
    </row>
  </sheetData>
  <mergeCells count="8">
    <mergeCell ref="A2:J2"/>
    <mergeCell ref="K2:K3"/>
    <mergeCell ref="A21:J21"/>
    <mergeCell ref="K21:K22"/>
    <mergeCell ref="K37:K38"/>
    <mergeCell ref="A57:J57"/>
    <mergeCell ref="K57:K58"/>
    <mergeCell ref="A58:J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0.5"/>
    <col customWidth="1" min="4" max="4" width="23.75"/>
    <col customWidth="1" min="5" max="5" width="16.88"/>
  </cols>
  <sheetData>
    <row r="1">
      <c r="B1" s="30"/>
      <c r="C1" s="30"/>
    </row>
    <row r="2" ht="27.0" customHeight="1">
      <c r="A2" s="171" t="s">
        <v>784</v>
      </c>
      <c r="B2" s="172"/>
      <c r="C2" s="172"/>
      <c r="D2" s="172"/>
      <c r="E2" s="172"/>
      <c r="F2" s="172"/>
      <c r="G2" s="172"/>
      <c r="H2" s="172"/>
      <c r="I2" s="172"/>
      <c r="J2" s="173"/>
      <c r="K2" s="174">
        <f>SUM(H4:H19)</f>
        <v>86400</v>
      </c>
    </row>
    <row r="3">
      <c r="A3" s="175" t="s">
        <v>1</v>
      </c>
      <c r="B3" s="175" t="s">
        <v>2</v>
      </c>
      <c r="C3" s="175" t="s">
        <v>3</v>
      </c>
      <c r="D3" s="175" t="s">
        <v>4</v>
      </c>
      <c r="E3" s="175" t="s">
        <v>5</v>
      </c>
      <c r="F3" s="176" t="s">
        <v>6</v>
      </c>
      <c r="G3" s="177" t="s">
        <v>7</v>
      </c>
      <c r="H3" s="178" t="s">
        <v>8</v>
      </c>
      <c r="I3" s="179" t="s">
        <v>9</v>
      </c>
      <c r="J3" s="180" t="s">
        <v>49</v>
      </c>
    </row>
    <row r="4">
      <c r="A4" s="181">
        <v>1.0</v>
      </c>
      <c r="B4" s="182">
        <v>46146.0</v>
      </c>
      <c r="C4" s="183">
        <v>15000.0</v>
      </c>
      <c r="D4" s="568" t="s">
        <v>785</v>
      </c>
      <c r="E4" s="569" t="s">
        <v>786</v>
      </c>
      <c r="F4" s="570" t="s">
        <v>787</v>
      </c>
      <c r="G4" s="571">
        <v>6.0</v>
      </c>
      <c r="H4" s="572">
        <v>14000.0</v>
      </c>
      <c r="I4" s="190"/>
      <c r="J4" s="189"/>
      <c r="L4" s="573" t="s">
        <v>32</v>
      </c>
      <c r="M4" s="30" t="s">
        <v>788</v>
      </c>
    </row>
    <row r="5">
      <c r="A5" s="190">
        <v>2.0</v>
      </c>
      <c r="B5" s="191">
        <v>46176.0</v>
      </c>
      <c r="C5" s="183">
        <v>60000.0</v>
      </c>
      <c r="D5" s="185" t="s">
        <v>789</v>
      </c>
      <c r="E5" s="185">
        <v>5.53899292E8</v>
      </c>
      <c r="F5" s="186">
        <v>5.53899292E8</v>
      </c>
      <c r="G5" s="186">
        <v>5.0</v>
      </c>
      <c r="H5" s="185">
        <v>59900.0</v>
      </c>
      <c r="I5" s="188"/>
      <c r="J5" s="189"/>
      <c r="L5" s="573" t="s">
        <v>32</v>
      </c>
    </row>
    <row r="6">
      <c r="A6" s="190">
        <v>3.0</v>
      </c>
      <c r="B6" s="574">
        <v>46181.0</v>
      </c>
      <c r="C6" s="183"/>
      <c r="D6" s="185" t="s">
        <v>790</v>
      </c>
      <c r="E6" s="185" t="s">
        <v>791</v>
      </c>
      <c r="F6" s="186">
        <v>5.57471515E8</v>
      </c>
      <c r="G6" s="186">
        <v>2008.0</v>
      </c>
      <c r="H6" s="185">
        <v>12500.0</v>
      </c>
      <c r="I6" s="188"/>
      <c r="J6" s="189"/>
      <c r="L6" s="30" t="s">
        <v>32</v>
      </c>
    </row>
    <row r="7">
      <c r="A7" s="190">
        <v>4.0</v>
      </c>
      <c r="B7" s="188"/>
      <c r="C7" s="183"/>
      <c r="D7" s="185"/>
      <c r="E7" s="185"/>
      <c r="F7" s="138"/>
      <c r="G7" s="138"/>
      <c r="H7" s="185"/>
      <c r="I7" s="195"/>
      <c r="J7" s="196"/>
      <c r="K7" s="30"/>
    </row>
    <row r="8">
      <c r="A8" s="190">
        <v>5.0</v>
      </c>
      <c r="B8" s="188"/>
      <c r="C8" s="183"/>
      <c r="D8" s="185"/>
      <c r="E8" s="185"/>
      <c r="F8" s="186" t="s">
        <v>0</v>
      </c>
      <c r="G8" s="138"/>
      <c r="H8" s="185"/>
      <c r="I8" s="188"/>
      <c r="J8" s="189"/>
    </row>
    <row r="9">
      <c r="A9" s="190">
        <v>6.0</v>
      </c>
      <c r="B9" s="188"/>
      <c r="C9" s="183"/>
      <c r="D9" s="185"/>
      <c r="E9" s="185"/>
      <c r="F9" s="138"/>
      <c r="G9" s="138"/>
      <c r="H9" s="185"/>
      <c r="I9" s="188"/>
      <c r="J9" s="189"/>
    </row>
    <row r="10">
      <c r="A10" s="190">
        <v>7.0</v>
      </c>
      <c r="B10" s="188"/>
      <c r="C10" s="183"/>
      <c r="D10" s="185"/>
      <c r="E10" s="185"/>
      <c r="F10" s="138"/>
      <c r="G10" s="138"/>
      <c r="H10" s="185"/>
      <c r="I10" s="188"/>
      <c r="J10" s="189"/>
    </row>
    <row r="11">
      <c r="A11" s="190">
        <v>8.0</v>
      </c>
      <c r="B11" s="188"/>
      <c r="C11" s="183"/>
      <c r="D11" s="185"/>
      <c r="E11" s="185"/>
      <c r="F11" s="138"/>
      <c r="G11" s="138"/>
      <c r="H11" s="185"/>
      <c r="I11" s="188"/>
      <c r="J11" s="189"/>
    </row>
    <row r="12">
      <c r="A12" s="190">
        <v>9.0</v>
      </c>
      <c r="B12" s="188"/>
      <c r="C12" s="183"/>
      <c r="D12" s="185"/>
      <c r="E12" s="185"/>
      <c r="F12" s="138"/>
      <c r="G12" s="138"/>
      <c r="H12" s="185"/>
      <c r="I12" s="195"/>
      <c r="J12" s="189"/>
    </row>
    <row r="13">
      <c r="A13" s="190">
        <v>10.0</v>
      </c>
      <c r="B13" s="188"/>
      <c r="C13" s="183"/>
      <c r="D13" s="185"/>
      <c r="E13" s="185"/>
      <c r="F13" s="138"/>
      <c r="G13" s="138"/>
      <c r="H13" s="185"/>
      <c r="I13" s="188"/>
      <c r="J13" s="189"/>
    </row>
    <row r="14">
      <c r="A14" s="190">
        <v>11.0</v>
      </c>
      <c r="B14" s="188"/>
      <c r="C14" s="183"/>
      <c r="D14" s="575"/>
      <c r="E14" s="186"/>
      <c r="F14" s="138"/>
      <c r="G14" s="138"/>
      <c r="H14" s="186"/>
      <c r="I14" s="188"/>
      <c r="J14" s="189"/>
    </row>
    <row r="15">
      <c r="A15" s="190">
        <v>12.0</v>
      </c>
      <c r="B15" s="188"/>
      <c r="C15" s="183"/>
      <c r="D15" s="208"/>
      <c r="E15" s="186"/>
      <c r="F15" s="186"/>
      <c r="G15" s="576"/>
      <c r="H15" s="186"/>
      <c r="I15" s="188"/>
      <c r="J15" s="189"/>
    </row>
    <row r="16">
      <c r="A16" s="190">
        <v>13.0</v>
      </c>
      <c r="B16" s="188"/>
      <c r="C16" s="183"/>
      <c r="D16" s="186"/>
      <c r="E16" s="186"/>
      <c r="F16" s="186"/>
      <c r="G16" s="576"/>
      <c r="H16" s="186"/>
      <c r="I16" s="188"/>
      <c r="J16" s="189"/>
    </row>
    <row r="17">
      <c r="A17" s="190">
        <v>14.0</v>
      </c>
      <c r="B17" s="188"/>
      <c r="C17" s="183"/>
      <c r="D17" s="186"/>
      <c r="E17" s="186"/>
      <c r="F17" s="186"/>
      <c r="G17" s="576"/>
      <c r="H17" s="186"/>
      <c r="I17" s="188"/>
      <c r="J17" s="189"/>
    </row>
    <row r="18">
      <c r="A18" s="211">
        <v>15.0</v>
      </c>
      <c r="B18" s="212"/>
      <c r="C18" s="183"/>
      <c r="D18" s="213"/>
      <c r="E18" s="213"/>
      <c r="F18" s="213"/>
      <c r="G18" s="577"/>
      <c r="H18" s="186"/>
      <c r="I18" s="578"/>
      <c r="J18" s="216"/>
    </row>
    <row r="19">
      <c r="A19" s="190">
        <v>16.0</v>
      </c>
      <c r="B19" s="138"/>
      <c r="C19" s="183"/>
      <c r="D19" s="186"/>
      <c r="E19" s="186"/>
      <c r="F19" s="186"/>
      <c r="G19" s="138"/>
      <c r="H19" s="186"/>
      <c r="I19" s="138"/>
      <c r="J19" s="138"/>
    </row>
    <row r="22">
      <c r="O22" s="30" t="s">
        <v>792</v>
      </c>
    </row>
    <row r="23">
      <c r="A23" s="171" t="s">
        <v>793</v>
      </c>
      <c r="B23" s="172"/>
      <c r="C23" s="172"/>
      <c r="D23" s="172"/>
      <c r="E23" s="172"/>
      <c r="F23" s="172"/>
      <c r="G23" s="172"/>
      <c r="H23" s="172"/>
      <c r="I23" s="172"/>
      <c r="J23" s="173"/>
      <c r="K23" s="174">
        <f>SUM(H25:H39)</f>
        <v>0</v>
      </c>
    </row>
    <row r="24">
      <c r="A24" s="175" t="s">
        <v>1</v>
      </c>
      <c r="B24" s="175" t="s">
        <v>2</v>
      </c>
      <c r="C24" s="175" t="s">
        <v>3</v>
      </c>
      <c r="D24" s="175" t="s">
        <v>4</v>
      </c>
      <c r="E24" s="175" t="s">
        <v>5</v>
      </c>
      <c r="F24" s="176" t="s">
        <v>6</v>
      </c>
      <c r="G24" s="177" t="s">
        <v>7</v>
      </c>
      <c r="H24" s="178" t="s">
        <v>8</v>
      </c>
      <c r="I24" s="179" t="s">
        <v>9</v>
      </c>
      <c r="J24" s="180" t="s">
        <v>49</v>
      </c>
    </row>
    <row r="25">
      <c r="A25" s="181">
        <v>1.0</v>
      </c>
      <c r="B25" s="217"/>
      <c r="C25" s="183"/>
      <c r="D25" s="185"/>
      <c r="E25" s="185"/>
      <c r="F25" s="138"/>
      <c r="G25" s="138"/>
      <c r="H25" s="185"/>
      <c r="I25" s="188"/>
      <c r="J25" s="189"/>
    </row>
    <row r="26">
      <c r="A26" s="190">
        <v>2.0</v>
      </c>
      <c r="B26" s="188"/>
      <c r="C26" s="183"/>
      <c r="D26" s="185"/>
      <c r="E26" s="185"/>
      <c r="F26" s="138"/>
      <c r="G26" s="138"/>
      <c r="H26" s="185"/>
      <c r="I26" s="195"/>
      <c r="J26" s="189"/>
    </row>
    <row r="27">
      <c r="A27" s="190">
        <v>3.0</v>
      </c>
      <c r="B27" s="188"/>
      <c r="C27" s="183"/>
      <c r="D27" s="185"/>
      <c r="E27" s="185"/>
      <c r="F27" s="138"/>
      <c r="G27" s="138"/>
      <c r="H27" s="185"/>
      <c r="I27" s="188"/>
      <c r="J27" s="189"/>
    </row>
    <row r="28">
      <c r="A28" s="190">
        <v>4.0</v>
      </c>
      <c r="B28" s="188"/>
      <c r="C28" s="183"/>
      <c r="D28" s="185"/>
      <c r="E28" s="185"/>
      <c r="F28" s="138"/>
      <c r="G28" s="138"/>
      <c r="H28" s="185"/>
      <c r="I28" s="188"/>
      <c r="J28" s="196"/>
      <c r="K28" s="30"/>
    </row>
    <row r="29">
      <c r="A29" s="190">
        <v>5.0</v>
      </c>
      <c r="B29" s="188"/>
      <c r="C29" s="183"/>
      <c r="D29" s="185"/>
      <c r="E29" s="185"/>
      <c r="F29" s="138"/>
      <c r="G29" s="138"/>
      <c r="H29" s="185"/>
      <c r="I29" s="188"/>
      <c r="J29" s="189"/>
    </row>
    <row r="30">
      <c r="A30" s="190">
        <v>6.0</v>
      </c>
      <c r="B30" s="188"/>
      <c r="C30" s="183"/>
      <c r="D30" s="185"/>
      <c r="E30" s="185"/>
      <c r="F30" s="138"/>
      <c r="G30" s="138"/>
      <c r="H30" s="185"/>
      <c r="I30" s="188"/>
      <c r="J30" s="189"/>
    </row>
    <row r="31">
      <c r="A31" s="190">
        <v>7.0</v>
      </c>
      <c r="B31" s="188"/>
      <c r="C31" s="183"/>
      <c r="D31" s="185"/>
      <c r="E31" s="185"/>
      <c r="F31" s="138"/>
      <c r="G31" s="138"/>
      <c r="H31" s="185"/>
      <c r="I31" s="188"/>
      <c r="J31" s="189"/>
    </row>
    <row r="32">
      <c r="A32" s="190">
        <v>8.0</v>
      </c>
      <c r="B32" s="188"/>
      <c r="C32" s="183"/>
      <c r="D32" s="138"/>
      <c r="E32" s="138"/>
      <c r="F32" s="138"/>
      <c r="G32" s="138"/>
      <c r="H32" s="185"/>
      <c r="I32" s="188"/>
      <c r="J32" s="189"/>
    </row>
    <row r="33">
      <c r="A33" s="190">
        <v>9.0</v>
      </c>
      <c r="B33" s="188"/>
      <c r="C33" s="183"/>
      <c r="D33" s="185"/>
      <c r="E33" s="185"/>
      <c r="F33" s="138"/>
      <c r="G33" s="138"/>
      <c r="H33" s="185"/>
      <c r="I33" s="188"/>
      <c r="J33" s="189"/>
    </row>
    <row r="34">
      <c r="A34" s="190">
        <v>10.0</v>
      </c>
      <c r="B34" s="188"/>
      <c r="C34" s="183"/>
      <c r="D34" s="185"/>
      <c r="E34" s="185"/>
      <c r="F34" s="138"/>
      <c r="G34" s="138"/>
      <c r="H34" s="185"/>
      <c r="I34" s="188"/>
      <c r="J34" s="189"/>
    </row>
    <row r="35">
      <c r="A35" s="190">
        <v>11.0</v>
      </c>
      <c r="B35" s="188"/>
      <c r="C35" s="183"/>
      <c r="D35" s="185"/>
      <c r="E35" s="185"/>
      <c r="F35" s="138"/>
      <c r="G35" s="138"/>
      <c r="H35" s="185"/>
      <c r="I35" s="188"/>
      <c r="J35" s="189"/>
    </row>
    <row r="36">
      <c r="A36" s="190">
        <v>12.0</v>
      </c>
      <c r="B36" s="188"/>
      <c r="C36" s="183"/>
      <c r="D36" s="185"/>
      <c r="E36" s="185"/>
      <c r="F36" s="138"/>
      <c r="G36" s="138"/>
      <c r="H36" s="185"/>
      <c r="I36" s="188"/>
      <c r="J36" s="189"/>
    </row>
    <row r="37">
      <c r="A37" s="190">
        <v>13.0</v>
      </c>
      <c r="B37" s="188"/>
      <c r="C37" s="183"/>
      <c r="D37" s="138"/>
      <c r="E37" s="138"/>
      <c r="F37" s="138"/>
      <c r="G37" s="138"/>
      <c r="H37" s="186"/>
      <c r="I37" s="188"/>
      <c r="J37" s="189"/>
    </row>
    <row r="38">
      <c r="A38" s="190">
        <v>14.0</v>
      </c>
      <c r="B38" s="188"/>
      <c r="C38" s="183"/>
      <c r="D38" s="186"/>
      <c r="E38" s="186"/>
      <c r="F38" s="186"/>
      <c r="G38" s="138"/>
      <c r="H38" s="186"/>
      <c r="I38" s="188"/>
      <c r="J38" s="189"/>
    </row>
    <row r="39">
      <c r="A39" s="211">
        <v>15.0</v>
      </c>
      <c r="B39" s="218"/>
      <c r="C39" s="183"/>
      <c r="D39" s="219"/>
      <c r="E39" s="219"/>
      <c r="F39" s="219"/>
      <c r="G39" s="579"/>
      <c r="H39" s="186"/>
      <c r="I39" s="218"/>
      <c r="J39" s="222"/>
    </row>
    <row r="43">
      <c r="A43" s="171" t="s">
        <v>794</v>
      </c>
      <c r="B43" s="172"/>
      <c r="C43" s="172"/>
      <c r="D43" s="172"/>
      <c r="E43" s="172"/>
      <c r="F43" s="172"/>
      <c r="G43" s="172"/>
      <c r="H43" s="172"/>
      <c r="I43" s="172"/>
      <c r="J43" s="173"/>
      <c r="K43" s="174">
        <f>SUM(H45:H59)</f>
        <v>0</v>
      </c>
    </row>
    <row r="44">
      <c r="A44" s="175" t="s">
        <v>1</v>
      </c>
      <c r="B44" s="175" t="s">
        <v>2</v>
      </c>
      <c r="C44" s="175" t="s">
        <v>3</v>
      </c>
      <c r="D44" s="175" t="s">
        <v>4</v>
      </c>
      <c r="E44" s="175" t="s">
        <v>5</v>
      </c>
      <c r="F44" s="176" t="s">
        <v>6</v>
      </c>
      <c r="G44" s="177" t="s">
        <v>7</v>
      </c>
      <c r="H44" s="178" t="s">
        <v>8</v>
      </c>
      <c r="I44" s="179" t="s">
        <v>9</v>
      </c>
      <c r="J44" s="180" t="s">
        <v>49</v>
      </c>
    </row>
    <row r="45">
      <c r="A45" s="181">
        <v>1.0</v>
      </c>
      <c r="B45" s="217"/>
      <c r="C45" s="183"/>
      <c r="D45" s="185"/>
      <c r="E45" s="185"/>
      <c r="F45" s="138"/>
      <c r="G45" s="138"/>
      <c r="H45" s="185"/>
      <c r="I45" s="188"/>
      <c r="J45" s="189"/>
    </row>
    <row r="46">
      <c r="A46" s="190">
        <v>2.0</v>
      </c>
      <c r="B46" s="188"/>
      <c r="C46" s="183"/>
      <c r="D46" s="185"/>
      <c r="E46" s="185"/>
      <c r="F46" s="138"/>
      <c r="G46" s="138"/>
      <c r="H46" s="185"/>
      <c r="I46" s="195"/>
      <c r="J46" s="189"/>
    </row>
    <row r="47">
      <c r="A47" s="190">
        <v>3.0</v>
      </c>
      <c r="B47" s="188"/>
      <c r="C47" s="183"/>
      <c r="D47" s="185"/>
      <c r="E47" s="185"/>
      <c r="F47" s="138"/>
      <c r="G47" s="138"/>
      <c r="H47" s="185"/>
      <c r="I47" s="188"/>
      <c r="J47" s="189"/>
    </row>
    <row r="48">
      <c r="A48" s="190">
        <v>4.0</v>
      </c>
      <c r="B48" s="188"/>
      <c r="C48" s="183"/>
      <c r="D48" s="185"/>
      <c r="E48" s="185"/>
      <c r="F48" s="138"/>
      <c r="G48" s="138"/>
      <c r="H48" s="185"/>
      <c r="I48" s="188"/>
      <c r="J48" s="196"/>
      <c r="K48" s="30"/>
    </row>
    <row r="49">
      <c r="A49" s="190">
        <v>5.0</v>
      </c>
      <c r="B49" s="188"/>
      <c r="C49" s="183"/>
      <c r="D49" s="185"/>
      <c r="E49" s="185"/>
      <c r="F49" s="138"/>
      <c r="G49" s="138"/>
      <c r="H49" s="185"/>
      <c r="I49" s="188"/>
      <c r="J49" s="189"/>
    </row>
    <row r="50">
      <c r="A50" s="190">
        <v>6.0</v>
      </c>
      <c r="B50" s="188"/>
      <c r="C50" s="183"/>
      <c r="D50" s="185"/>
      <c r="E50" s="185"/>
      <c r="F50" s="138"/>
      <c r="G50" s="138"/>
      <c r="H50" s="185"/>
      <c r="I50" s="188"/>
      <c r="J50" s="189"/>
    </row>
    <row r="51">
      <c r="A51" s="190">
        <v>7.0</v>
      </c>
      <c r="B51" s="188"/>
      <c r="C51" s="183"/>
      <c r="D51" s="185"/>
      <c r="E51" s="185"/>
      <c r="F51" s="138"/>
      <c r="G51" s="138"/>
      <c r="H51" s="185"/>
      <c r="I51" s="188"/>
      <c r="J51" s="189"/>
    </row>
    <row r="52">
      <c r="A52" s="190">
        <v>8.0</v>
      </c>
      <c r="B52" s="188"/>
      <c r="C52" s="183"/>
      <c r="D52" s="138"/>
      <c r="E52" s="138"/>
      <c r="F52" s="138"/>
      <c r="G52" s="138"/>
      <c r="H52" s="185"/>
      <c r="I52" s="188"/>
      <c r="J52" s="189"/>
    </row>
    <row r="53">
      <c r="A53" s="190">
        <v>9.0</v>
      </c>
      <c r="B53" s="188"/>
      <c r="C53" s="183"/>
      <c r="D53" s="185"/>
      <c r="E53" s="185"/>
      <c r="F53" s="138"/>
      <c r="G53" s="138"/>
      <c r="H53" s="185"/>
      <c r="I53" s="188"/>
      <c r="J53" s="189"/>
    </row>
    <row r="54">
      <c r="A54" s="190">
        <v>10.0</v>
      </c>
      <c r="B54" s="188"/>
      <c r="C54" s="183"/>
      <c r="D54" s="185"/>
      <c r="E54" s="185"/>
      <c r="F54" s="138"/>
      <c r="G54" s="138"/>
      <c r="H54" s="185"/>
      <c r="I54" s="188"/>
      <c r="J54" s="189"/>
    </row>
    <row r="55">
      <c r="A55" s="190">
        <v>11.0</v>
      </c>
      <c r="B55" s="188"/>
      <c r="C55" s="183"/>
      <c r="D55" s="185"/>
      <c r="E55" s="185"/>
      <c r="F55" s="138"/>
      <c r="G55" s="138"/>
      <c r="H55" s="185"/>
      <c r="I55" s="188"/>
      <c r="J55" s="189"/>
    </row>
    <row r="56">
      <c r="A56" s="190">
        <v>12.0</v>
      </c>
      <c r="B56" s="188"/>
      <c r="C56" s="183"/>
      <c r="D56" s="185"/>
      <c r="E56" s="185"/>
      <c r="F56" s="138"/>
      <c r="G56" s="138"/>
      <c r="H56" s="185"/>
      <c r="I56" s="188"/>
      <c r="J56" s="189"/>
    </row>
    <row r="57">
      <c r="A57" s="190">
        <v>13.0</v>
      </c>
      <c r="B57" s="188"/>
      <c r="C57" s="183"/>
      <c r="D57" s="138"/>
      <c r="E57" s="138"/>
      <c r="F57" s="138"/>
      <c r="G57" s="138"/>
      <c r="H57" s="186"/>
      <c r="I57" s="188"/>
      <c r="J57" s="189"/>
    </row>
    <row r="58">
      <c r="A58" s="190">
        <v>14.0</v>
      </c>
      <c r="B58" s="188"/>
      <c r="C58" s="183"/>
      <c r="D58" s="186"/>
      <c r="E58" s="186"/>
      <c r="F58" s="186"/>
      <c r="G58" s="138"/>
      <c r="H58" s="186"/>
      <c r="I58" s="188"/>
      <c r="J58" s="189"/>
    </row>
    <row r="59">
      <c r="A59" s="211">
        <v>15.0</v>
      </c>
      <c r="B59" s="218"/>
      <c r="C59" s="183"/>
      <c r="D59" s="219"/>
      <c r="E59" s="219"/>
      <c r="F59" s="219"/>
      <c r="G59" s="579"/>
      <c r="H59" s="186"/>
      <c r="I59" s="218"/>
      <c r="J59" s="222"/>
    </row>
    <row r="63">
      <c r="A63" s="171" t="s">
        <v>795</v>
      </c>
      <c r="B63" s="172"/>
      <c r="C63" s="172"/>
      <c r="D63" s="172"/>
      <c r="E63" s="172"/>
      <c r="F63" s="172"/>
      <c r="G63" s="172"/>
      <c r="H63" s="172"/>
      <c r="I63" s="172"/>
      <c r="J63" s="173"/>
      <c r="K63" s="174">
        <f>SUM(H65:H79)</f>
        <v>0</v>
      </c>
    </row>
    <row r="64">
      <c r="A64" s="175" t="s">
        <v>1</v>
      </c>
      <c r="B64" s="175" t="s">
        <v>2</v>
      </c>
      <c r="C64" s="175" t="s">
        <v>3</v>
      </c>
      <c r="D64" s="175" t="s">
        <v>4</v>
      </c>
      <c r="E64" s="175" t="s">
        <v>5</v>
      </c>
      <c r="F64" s="176" t="s">
        <v>6</v>
      </c>
      <c r="G64" s="177" t="s">
        <v>7</v>
      </c>
      <c r="H64" s="178" t="s">
        <v>8</v>
      </c>
      <c r="I64" s="179" t="s">
        <v>9</v>
      </c>
      <c r="J64" s="180" t="s">
        <v>49</v>
      </c>
    </row>
    <row r="65">
      <c r="A65" s="181">
        <v>1.0</v>
      </c>
      <c r="B65" s="217"/>
      <c r="C65" s="183"/>
      <c r="D65" s="185"/>
      <c r="E65" s="185"/>
      <c r="F65" s="138"/>
      <c r="G65" s="138"/>
      <c r="H65" s="185"/>
      <c r="I65" s="188"/>
      <c r="J65" s="189"/>
    </row>
    <row r="66">
      <c r="A66" s="190">
        <v>2.0</v>
      </c>
      <c r="B66" s="188"/>
      <c r="C66" s="183"/>
      <c r="D66" s="185"/>
      <c r="E66" s="185"/>
      <c r="F66" s="138"/>
      <c r="G66" s="138"/>
      <c r="H66" s="185"/>
      <c r="I66" s="195"/>
      <c r="J66" s="189"/>
    </row>
    <row r="67">
      <c r="A67" s="190">
        <v>3.0</v>
      </c>
      <c r="B67" s="188"/>
      <c r="C67" s="183"/>
      <c r="D67" s="185"/>
      <c r="E67" s="185"/>
      <c r="F67" s="138"/>
      <c r="G67" s="138"/>
      <c r="H67" s="185"/>
      <c r="I67" s="188"/>
      <c r="J67" s="189"/>
    </row>
    <row r="68">
      <c r="A68" s="190">
        <v>4.0</v>
      </c>
      <c r="B68" s="188"/>
      <c r="C68" s="183"/>
      <c r="D68" s="185"/>
      <c r="E68" s="185"/>
      <c r="F68" s="138"/>
      <c r="G68" s="138"/>
      <c r="H68" s="185"/>
      <c r="I68" s="188"/>
      <c r="J68" s="196"/>
      <c r="K68" s="30"/>
    </row>
    <row r="69">
      <c r="A69" s="190">
        <v>5.0</v>
      </c>
      <c r="B69" s="188"/>
      <c r="C69" s="183"/>
      <c r="D69" s="185"/>
      <c r="E69" s="185"/>
      <c r="F69" s="138"/>
      <c r="G69" s="138"/>
      <c r="H69" s="185"/>
      <c r="I69" s="188"/>
      <c r="J69" s="189"/>
    </row>
    <row r="70">
      <c r="A70" s="190">
        <v>6.0</v>
      </c>
      <c r="B70" s="188"/>
      <c r="C70" s="183"/>
      <c r="D70" s="185"/>
      <c r="E70" s="185"/>
      <c r="F70" s="138"/>
      <c r="G70" s="138"/>
      <c r="H70" s="185"/>
      <c r="I70" s="188"/>
      <c r="J70" s="189"/>
    </row>
    <row r="71">
      <c r="A71" s="190">
        <v>7.0</v>
      </c>
      <c r="B71" s="188"/>
      <c r="C71" s="183"/>
      <c r="D71" s="185"/>
      <c r="E71" s="185"/>
      <c r="F71" s="138"/>
      <c r="G71" s="138"/>
      <c r="H71" s="185"/>
      <c r="I71" s="188"/>
      <c r="J71" s="189"/>
    </row>
    <row r="72">
      <c r="A72" s="190">
        <v>8.0</v>
      </c>
      <c r="B72" s="188"/>
      <c r="C72" s="183"/>
      <c r="D72" s="138"/>
      <c r="E72" s="138"/>
      <c r="F72" s="138"/>
      <c r="G72" s="138"/>
      <c r="H72" s="185"/>
      <c r="I72" s="188"/>
      <c r="J72" s="189"/>
    </row>
    <row r="73">
      <c r="A73" s="190">
        <v>9.0</v>
      </c>
      <c r="B73" s="188"/>
      <c r="C73" s="183"/>
      <c r="D73" s="185"/>
      <c r="E73" s="185"/>
      <c r="F73" s="138"/>
      <c r="G73" s="138"/>
      <c r="H73" s="185"/>
      <c r="I73" s="188"/>
      <c r="J73" s="189"/>
    </row>
    <row r="74">
      <c r="A74" s="190">
        <v>10.0</v>
      </c>
      <c r="B74" s="188"/>
      <c r="C74" s="183"/>
      <c r="D74" s="185"/>
      <c r="E74" s="185"/>
      <c r="F74" s="138"/>
      <c r="G74" s="138"/>
      <c r="H74" s="185"/>
      <c r="I74" s="188"/>
      <c r="J74" s="189"/>
    </row>
    <row r="75">
      <c r="A75" s="190">
        <v>11.0</v>
      </c>
      <c r="B75" s="188"/>
      <c r="C75" s="183"/>
      <c r="D75" s="185"/>
      <c r="E75" s="185"/>
      <c r="F75" s="138"/>
      <c r="G75" s="138"/>
      <c r="H75" s="185"/>
      <c r="I75" s="188"/>
      <c r="J75" s="189"/>
    </row>
    <row r="76">
      <c r="A76" s="190">
        <v>12.0</v>
      </c>
      <c r="B76" s="188"/>
      <c r="C76" s="183"/>
      <c r="D76" s="185"/>
      <c r="E76" s="185"/>
      <c r="F76" s="138"/>
      <c r="G76" s="138"/>
      <c r="H76" s="185"/>
      <c r="I76" s="188"/>
      <c r="J76" s="189"/>
    </row>
    <row r="77">
      <c r="A77" s="190">
        <v>13.0</v>
      </c>
      <c r="B77" s="188"/>
      <c r="C77" s="183"/>
      <c r="D77" s="138"/>
      <c r="E77" s="138"/>
      <c r="F77" s="138"/>
      <c r="G77" s="138"/>
      <c r="H77" s="186"/>
      <c r="I77" s="188"/>
      <c r="J77" s="189"/>
    </row>
    <row r="78">
      <c r="A78" s="190">
        <v>14.0</v>
      </c>
      <c r="B78" s="188"/>
      <c r="C78" s="183"/>
      <c r="D78" s="186"/>
      <c r="E78" s="186"/>
      <c r="F78" s="186"/>
      <c r="G78" s="138"/>
      <c r="H78" s="186"/>
      <c r="I78" s="188"/>
      <c r="J78" s="189"/>
    </row>
    <row r="79">
      <c r="A79" s="211">
        <v>15.0</v>
      </c>
      <c r="B79" s="218"/>
      <c r="C79" s="183"/>
      <c r="D79" s="219"/>
      <c r="E79" s="219"/>
      <c r="F79" s="219"/>
      <c r="G79" s="220"/>
      <c r="H79" s="219"/>
      <c r="I79" s="221"/>
      <c r="J79" s="222"/>
    </row>
    <row r="83">
      <c r="A83" s="580" t="s">
        <v>796</v>
      </c>
      <c r="B83" s="172"/>
      <c r="C83" s="172"/>
      <c r="D83" s="172"/>
      <c r="E83" s="172"/>
      <c r="F83" s="172"/>
      <c r="G83" s="172"/>
      <c r="H83" s="172"/>
      <c r="I83" s="172"/>
      <c r="J83" s="173"/>
      <c r="K83" s="581">
        <f>SUM(H85:H99)</f>
        <v>16000</v>
      </c>
    </row>
    <row r="84">
      <c r="A84" s="582" t="s">
        <v>1</v>
      </c>
      <c r="B84" s="582" t="s">
        <v>2</v>
      </c>
      <c r="C84" s="582" t="s">
        <v>3</v>
      </c>
      <c r="D84" s="582" t="s">
        <v>4</v>
      </c>
      <c r="E84" s="582" t="s">
        <v>5</v>
      </c>
      <c r="F84" s="583" t="s">
        <v>6</v>
      </c>
      <c r="G84" s="584" t="s">
        <v>7</v>
      </c>
      <c r="H84" s="585" t="s">
        <v>8</v>
      </c>
      <c r="I84" s="586" t="s">
        <v>9</v>
      </c>
      <c r="J84" s="587" t="s">
        <v>49</v>
      </c>
    </row>
    <row r="85">
      <c r="A85" s="588">
        <v>1.0</v>
      </c>
      <c r="B85" s="589">
        <v>46153.0</v>
      </c>
      <c r="C85" s="590">
        <v>8000.0</v>
      </c>
      <c r="D85" s="591" t="s">
        <v>797</v>
      </c>
      <c r="E85" s="592">
        <v>5.57040014E8</v>
      </c>
      <c r="F85" s="54"/>
      <c r="G85" s="54"/>
      <c r="H85" s="593">
        <v>8000.0</v>
      </c>
      <c r="I85" s="594"/>
      <c r="J85" s="595">
        <v>8000.0</v>
      </c>
      <c r="K85" s="596"/>
    </row>
    <row r="86">
      <c r="A86" s="597">
        <v>2.0</v>
      </c>
      <c r="B86" s="598">
        <v>46155.0</v>
      </c>
      <c r="C86" s="590">
        <v>8000.0</v>
      </c>
      <c r="D86" s="591" t="s">
        <v>798</v>
      </c>
      <c r="E86" s="592">
        <v>5.57040014E8</v>
      </c>
      <c r="F86" s="54"/>
      <c r="G86" s="54"/>
      <c r="H86" s="593">
        <v>8000.0</v>
      </c>
      <c r="I86" s="599"/>
      <c r="J86" s="595">
        <v>8000.0</v>
      </c>
      <c r="K86" s="596"/>
    </row>
    <row r="87">
      <c r="A87" s="597">
        <v>3.0</v>
      </c>
      <c r="B87" s="594"/>
      <c r="C87" s="600"/>
      <c r="D87" s="471"/>
      <c r="E87" s="471"/>
      <c r="F87" s="54"/>
      <c r="G87" s="54"/>
      <c r="H87" s="471"/>
      <c r="I87" s="594"/>
      <c r="J87" s="601"/>
      <c r="K87" s="596"/>
    </row>
    <row r="88">
      <c r="A88" s="597">
        <v>4.0</v>
      </c>
      <c r="B88" s="594"/>
      <c r="C88" s="600"/>
      <c r="D88" s="471"/>
      <c r="E88" s="471"/>
      <c r="F88" s="54"/>
      <c r="G88" s="54"/>
      <c r="H88" s="471"/>
      <c r="I88" s="594"/>
      <c r="J88" s="602"/>
      <c r="K88" s="596"/>
    </row>
    <row r="89">
      <c r="A89" s="597">
        <v>5.0</v>
      </c>
      <c r="B89" s="603"/>
      <c r="C89" s="604"/>
      <c r="D89" s="605"/>
      <c r="E89" s="605"/>
      <c r="F89" s="109"/>
      <c r="G89" s="109"/>
      <c r="H89" s="605"/>
      <c r="I89" s="606"/>
      <c r="J89" s="607"/>
      <c r="K89" s="596"/>
    </row>
    <row r="90">
      <c r="A90" s="597">
        <v>6.0</v>
      </c>
      <c r="B90" s="603"/>
      <c r="C90" s="604"/>
      <c r="D90" s="605"/>
      <c r="E90" s="605"/>
      <c r="F90" s="109"/>
      <c r="G90" s="109"/>
      <c r="H90" s="605"/>
      <c r="I90" s="603"/>
      <c r="J90" s="607"/>
      <c r="K90" s="596"/>
    </row>
    <row r="91">
      <c r="A91" s="597">
        <v>7.0</v>
      </c>
      <c r="B91" s="603"/>
      <c r="C91" s="604"/>
      <c r="D91" s="605"/>
      <c r="E91" s="605"/>
      <c r="F91" s="109"/>
      <c r="G91" s="109"/>
      <c r="H91" s="605"/>
      <c r="I91" s="603"/>
      <c r="J91" s="607"/>
      <c r="K91" s="596"/>
    </row>
    <row r="92">
      <c r="A92" s="597">
        <v>8.0</v>
      </c>
      <c r="B92" s="603"/>
      <c r="C92" s="604"/>
      <c r="D92" s="605"/>
      <c r="E92" s="605"/>
      <c r="F92" s="109"/>
      <c r="G92" s="109"/>
      <c r="H92" s="605"/>
      <c r="I92" s="603"/>
      <c r="J92" s="607"/>
      <c r="K92" s="596"/>
    </row>
    <row r="93" ht="16.5" customHeight="1">
      <c r="A93" s="597">
        <v>9.0</v>
      </c>
      <c r="B93" s="603"/>
      <c r="C93" s="604"/>
      <c r="D93" s="605"/>
      <c r="E93" s="605"/>
      <c r="F93" s="109"/>
      <c r="G93" s="109"/>
      <c r="H93" s="605"/>
      <c r="I93" s="603"/>
      <c r="J93" s="608"/>
      <c r="K93" s="596"/>
    </row>
    <row r="94">
      <c r="A94" s="597">
        <v>10.0</v>
      </c>
      <c r="B94" s="603"/>
      <c r="C94" s="604"/>
      <c r="D94" s="605"/>
      <c r="E94" s="605"/>
      <c r="F94" s="109"/>
      <c r="G94" s="109"/>
      <c r="H94" s="605"/>
      <c r="I94" s="606"/>
      <c r="J94" s="607"/>
      <c r="K94" s="596"/>
    </row>
    <row r="95">
      <c r="A95" s="597">
        <v>11.0</v>
      </c>
      <c r="B95" s="603"/>
      <c r="C95" s="604"/>
      <c r="D95" s="605"/>
      <c r="E95" s="605"/>
      <c r="F95" s="109"/>
      <c r="G95" s="109"/>
      <c r="H95" s="605"/>
      <c r="I95" s="603"/>
      <c r="J95" s="607"/>
      <c r="K95" s="596"/>
    </row>
    <row r="96">
      <c r="A96" s="597">
        <v>12.0</v>
      </c>
      <c r="B96" s="603"/>
      <c r="C96" s="604"/>
      <c r="D96" s="109"/>
      <c r="E96" s="109"/>
      <c r="F96" s="109"/>
      <c r="G96" s="109"/>
      <c r="H96" s="109"/>
      <c r="I96" s="603"/>
      <c r="J96" s="607"/>
      <c r="K96" s="596"/>
    </row>
    <row r="97">
      <c r="A97" s="597">
        <v>13.0</v>
      </c>
      <c r="B97" s="603"/>
      <c r="C97" s="604"/>
      <c r="D97" s="605"/>
      <c r="E97" s="605"/>
      <c r="F97" s="605"/>
      <c r="G97" s="109"/>
      <c r="H97" s="605"/>
      <c r="I97" s="603"/>
      <c r="J97" s="607"/>
      <c r="K97" s="596"/>
    </row>
    <row r="98">
      <c r="A98" s="597">
        <v>14.0</v>
      </c>
      <c r="B98" s="603"/>
      <c r="C98" s="604"/>
      <c r="D98" s="605"/>
      <c r="E98" s="605"/>
      <c r="F98" s="605"/>
      <c r="G98" s="109"/>
      <c r="H98" s="605"/>
      <c r="I98" s="603"/>
      <c r="J98" s="607"/>
      <c r="K98" s="596"/>
    </row>
    <row r="99">
      <c r="A99" s="609">
        <v>15.0</v>
      </c>
      <c r="B99" s="610"/>
      <c r="C99" s="604"/>
      <c r="D99" s="611"/>
      <c r="E99" s="611"/>
      <c r="F99" s="611"/>
      <c r="G99" s="612"/>
      <c r="H99" s="611"/>
      <c r="I99" s="613"/>
      <c r="J99" s="614"/>
      <c r="K99" s="596"/>
    </row>
    <row r="103">
      <c r="A103" s="580" t="s">
        <v>799</v>
      </c>
      <c r="B103" s="172"/>
      <c r="C103" s="172"/>
      <c r="D103" s="172"/>
      <c r="E103" s="172"/>
      <c r="F103" s="172"/>
      <c r="G103" s="172"/>
      <c r="H103" s="172"/>
      <c r="I103" s="172"/>
      <c r="J103" s="173"/>
      <c r="K103" s="581">
        <f>SUM(H105:H119)</f>
        <v>0</v>
      </c>
    </row>
    <row r="104">
      <c r="A104" s="615" t="s">
        <v>1</v>
      </c>
      <c r="B104" s="615" t="s">
        <v>2</v>
      </c>
      <c r="C104" s="615" t="s">
        <v>3</v>
      </c>
      <c r="D104" s="615" t="s">
        <v>4</v>
      </c>
      <c r="E104" s="615" t="s">
        <v>5</v>
      </c>
      <c r="F104" s="616" t="s">
        <v>6</v>
      </c>
      <c r="G104" s="617" t="s">
        <v>7</v>
      </c>
      <c r="H104" s="618" t="s">
        <v>8</v>
      </c>
      <c r="I104" s="586" t="s">
        <v>9</v>
      </c>
      <c r="J104" s="587" t="s">
        <v>49</v>
      </c>
    </row>
    <row r="105">
      <c r="A105" s="619">
        <v>1.0</v>
      </c>
      <c r="B105" s="620"/>
      <c r="C105" s="620"/>
      <c r="D105" s="109"/>
      <c r="E105" s="109"/>
      <c r="F105" s="109"/>
      <c r="G105" s="109"/>
      <c r="H105" s="109"/>
      <c r="I105" s="603"/>
      <c r="J105" s="607"/>
      <c r="K105" s="596"/>
    </row>
    <row r="106">
      <c r="A106" s="621">
        <v>2.0</v>
      </c>
      <c r="B106" s="603"/>
      <c r="C106" s="620"/>
      <c r="D106" s="109"/>
      <c r="E106" s="109"/>
      <c r="F106" s="109"/>
      <c r="G106" s="109"/>
      <c r="H106" s="109"/>
      <c r="I106" s="603"/>
      <c r="J106" s="607"/>
      <c r="K106" s="596"/>
    </row>
    <row r="107">
      <c r="A107" s="621">
        <v>3.0</v>
      </c>
      <c r="B107" s="603"/>
      <c r="C107" s="620"/>
      <c r="D107" s="109"/>
      <c r="E107" s="109"/>
      <c r="F107" s="109"/>
      <c r="G107" s="109"/>
      <c r="H107" s="109"/>
      <c r="I107" s="603"/>
      <c r="J107" s="607"/>
      <c r="K107" s="596"/>
    </row>
    <row r="108">
      <c r="A108" s="621">
        <v>4.0</v>
      </c>
      <c r="B108" s="603"/>
      <c r="C108" s="620"/>
      <c r="D108" s="109"/>
      <c r="E108" s="109"/>
      <c r="F108" s="109"/>
      <c r="G108" s="109"/>
      <c r="H108" s="109"/>
      <c r="I108" s="603"/>
      <c r="J108" s="607"/>
      <c r="K108" s="596"/>
    </row>
    <row r="109">
      <c r="A109" s="621">
        <v>5.0</v>
      </c>
      <c r="B109" s="603"/>
      <c r="C109" s="620"/>
      <c r="D109" s="109"/>
      <c r="E109" s="109"/>
      <c r="F109" s="109"/>
      <c r="G109" s="109"/>
      <c r="H109" s="109"/>
      <c r="I109" s="603"/>
      <c r="J109" s="607"/>
      <c r="K109" s="596"/>
    </row>
    <row r="110">
      <c r="A110" s="621">
        <v>6.0</v>
      </c>
      <c r="B110" s="603"/>
      <c r="C110" s="620"/>
      <c r="D110" s="109"/>
      <c r="E110" s="109"/>
      <c r="F110" s="109"/>
      <c r="G110" s="109"/>
      <c r="H110" s="109"/>
      <c r="I110" s="603"/>
      <c r="J110" s="607"/>
      <c r="K110" s="596"/>
    </row>
    <row r="111">
      <c r="A111" s="621">
        <v>7.0</v>
      </c>
      <c r="B111" s="603"/>
      <c r="C111" s="620"/>
      <c r="D111" s="109"/>
      <c r="E111" s="109"/>
      <c r="F111" s="109"/>
      <c r="G111" s="109"/>
      <c r="H111" s="109"/>
      <c r="I111" s="603"/>
      <c r="J111" s="607"/>
      <c r="K111" s="596"/>
    </row>
    <row r="112">
      <c r="A112" s="621">
        <v>8.0</v>
      </c>
      <c r="B112" s="603"/>
      <c r="C112" s="620"/>
      <c r="D112" s="109"/>
      <c r="E112" s="109"/>
      <c r="F112" s="109"/>
      <c r="G112" s="109"/>
      <c r="H112" s="109"/>
      <c r="I112" s="603"/>
      <c r="J112" s="607"/>
      <c r="K112" s="596"/>
    </row>
    <row r="113">
      <c r="A113" s="621">
        <v>9.0</v>
      </c>
      <c r="B113" s="603"/>
      <c r="C113" s="620"/>
      <c r="D113" s="109"/>
      <c r="E113" s="109"/>
      <c r="F113" s="109"/>
      <c r="G113" s="109"/>
      <c r="H113" s="109"/>
      <c r="I113" s="603"/>
      <c r="J113" s="607"/>
      <c r="K113" s="596"/>
    </row>
    <row r="114">
      <c r="A114" s="621">
        <v>10.0</v>
      </c>
      <c r="B114" s="603"/>
      <c r="C114" s="620"/>
      <c r="D114" s="109"/>
      <c r="E114" s="109"/>
      <c r="F114" s="109"/>
      <c r="G114" s="109"/>
      <c r="H114" s="109"/>
      <c r="I114" s="603"/>
      <c r="J114" s="607"/>
      <c r="K114" s="596"/>
    </row>
    <row r="115">
      <c r="A115" s="621">
        <v>11.0</v>
      </c>
      <c r="B115" s="603"/>
      <c r="C115" s="620"/>
      <c r="D115" s="109"/>
      <c r="E115" s="109"/>
      <c r="F115" s="109"/>
      <c r="G115" s="109"/>
      <c r="H115" s="109"/>
      <c r="I115" s="603"/>
      <c r="J115" s="607"/>
      <c r="K115" s="596"/>
    </row>
    <row r="116">
      <c r="A116" s="621">
        <v>12.0</v>
      </c>
      <c r="B116" s="603"/>
      <c r="C116" s="620"/>
      <c r="D116" s="109"/>
      <c r="E116" s="109"/>
      <c r="F116" s="109"/>
      <c r="G116" s="109"/>
      <c r="H116" s="109"/>
      <c r="I116" s="603"/>
      <c r="J116" s="607"/>
      <c r="K116" s="596"/>
    </row>
    <row r="117">
      <c r="A117" s="621">
        <v>13.0</v>
      </c>
      <c r="B117" s="603"/>
      <c r="C117" s="620"/>
      <c r="D117" s="109"/>
      <c r="E117" s="109"/>
      <c r="F117" s="109"/>
      <c r="G117" s="109"/>
      <c r="H117" s="109"/>
      <c r="I117" s="603"/>
      <c r="J117" s="607"/>
      <c r="K117" s="596"/>
    </row>
    <row r="118">
      <c r="A118" s="621">
        <v>14.0</v>
      </c>
      <c r="B118" s="603"/>
      <c r="C118" s="620"/>
      <c r="D118" s="109"/>
      <c r="E118" s="109"/>
      <c r="F118" s="109"/>
      <c r="G118" s="109"/>
      <c r="H118" s="109"/>
      <c r="I118" s="603"/>
      <c r="J118" s="607"/>
      <c r="K118" s="596"/>
    </row>
    <row r="119">
      <c r="A119" s="622">
        <v>15.0</v>
      </c>
      <c r="B119" s="610"/>
      <c r="C119" s="620"/>
      <c r="D119" s="623"/>
      <c r="E119" s="623"/>
      <c r="F119" s="623"/>
      <c r="G119" s="612"/>
      <c r="H119" s="623"/>
      <c r="I119" s="613"/>
      <c r="J119" s="614"/>
      <c r="K119" s="596"/>
    </row>
  </sheetData>
  <mergeCells count="12">
    <mergeCell ref="A63:J63"/>
    <mergeCell ref="A83:J83"/>
    <mergeCell ref="K83:K84"/>
    <mergeCell ref="A103:J103"/>
    <mergeCell ref="K103:K104"/>
    <mergeCell ref="A2:J2"/>
    <mergeCell ref="K2:K3"/>
    <mergeCell ref="A23:J23"/>
    <mergeCell ref="K23:K24"/>
    <mergeCell ref="A43:J43"/>
    <mergeCell ref="K43:K44"/>
    <mergeCell ref="K63:K6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3.5"/>
    <col customWidth="1" min="3" max="3" width="28.5"/>
    <col customWidth="1" min="4" max="4" width="24.5"/>
  </cols>
  <sheetData>
    <row r="1" ht="22.5" customHeight="1">
      <c r="A1" s="624" t="s">
        <v>800</v>
      </c>
      <c r="B1" s="624" t="s">
        <v>801</v>
      </c>
      <c r="C1" s="624" t="s">
        <v>802</v>
      </c>
      <c r="D1" s="624" t="s">
        <v>803</v>
      </c>
    </row>
    <row r="2" ht="22.5" customHeight="1">
      <c r="A2" s="625" t="s">
        <v>804</v>
      </c>
      <c r="B2" s="626">
        <f t="shared" ref="B2:B6" si="1">COUNTIF(INDIRECT("'"&amp;A2&amp;"'!A:A"), "*Teacher:*")
</f>
        <v>3</v>
      </c>
      <c r="C2" s="626">
        <f t="shared" ref="C2:C6" si="2">COUNTA(INDIRECT("'"&amp;A2&amp;"'!D:D")) - COUNTIF(INDIRECT("'"&amp;A2&amp;"'!D:D"), "Name / Surname ")
</f>
        <v>63</v>
      </c>
      <c r="D2" s="627">
        <f t="shared" ref="D2:D6" si="3">SUM(INDIRECT("'"&amp;A2&amp;"'!K:K"))</f>
        <v>577000</v>
      </c>
    </row>
    <row r="3" ht="22.5" customHeight="1">
      <c r="A3" s="625" t="s">
        <v>805</v>
      </c>
      <c r="B3" s="626">
        <f t="shared" si="1"/>
        <v>4</v>
      </c>
      <c r="C3" s="626">
        <f t="shared" si="2"/>
        <v>65</v>
      </c>
      <c r="D3" s="627">
        <f t="shared" si="3"/>
        <v>523000</v>
      </c>
    </row>
    <row r="4" ht="22.5" customHeight="1">
      <c r="A4" s="625" t="s">
        <v>806</v>
      </c>
      <c r="B4" s="626">
        <f t="shared" si="1"/>
        <v>4</v>
      </c>
      <c r="C4" s="626">
        <f t="shared" si="2"/>
        <v>69</v>
      </c>
      <c r="D4" s="627">
        <f t="shared" si="3"/>
        <v>412500</v>
      </c>
    </row>
    <row r="5" ht="22.5" customHeight="1">
      <c r="A5" s="625" t="s">
        <v>807</v>
      </c>
      <c r="B5" s="626">
        <f t="shared" si="1"/>
        <v>3</v>
      </c>
      <c r="C5" s="626">
        <f t="shared" si="2"/>
        <v>52</v>
      </c>
      <c r="D5" s="627">
        <f t="shared" si="3"/>
        <v>244000</v>
      </c>
      <c r="G5" s="30"/>
    </row>
    <row r="6" ht="22.5" customHeight="1">
      <c r="A6" s="625" t="s">
        <v>808</v>
      </c>
      <c r="B6" s="626">
        <f t="shared" si="1"/>
        <v>2</v>
      </c>
      <c r="C6" s="626">
        <f t="shared" si="2"/>
        <v>5</v>
      </c>
      <c r="D6" s="627">
        <f t="shared" si="3"/>
        <v>19000</v>
      </c>
    </row>
    <row r="7" ht="22.5" customHeight="1">
      <c r="A7" s="625" t="s">
        <v>809</v>
      </c>
      <c r="B7" s="626">
        <f>COUNTIF(IELTS!A:A, "*Teacher:*")
</f>
        <v>7</v>
      </c>
      <c r="C7" s="626">
        <f>COUNTA(IELTS!D:D) - COUNTIF(IELTS!D:D, "Name / Surname ")
</f>
        <v>109</v>
      </c>
      <c r="D7" s="628">
        <f>SUM(IELTS!M:M)</f>
        <v>1703950</v>
      </c>
    </row>
    <row r="9">
      <c r="B9" s="629">
        <f>sum(Таблица1[Количество групп])</f>
        <v>23</v>
      </c>
      <c r="C9" s="629">
        <f>sum(Таблица1[Общее кол-во учеников])</f>
        <v>363</v>
      </c>
      <c r="D9" s="630">
        <f>SUM(Таблица1[Общая выручка (K)])</f>
        <v>3479450</v>
      </c>
    </row>
    <row r="18">
      <c r="B18" s="30" t="s">
        <v>0</v>
      </c>
    </row>
  </sheetData>
  <dataValidations>
    <dataValidation type="custom" allowBlank="1" showDropDown="1" sqref="B2:C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B1" s="631"/>
    </row>
    <row r="2">
      <c r="A2" s="30">
        <v>1.0</v>
      </c>
      <c r="B2" s="632" t="s">
        <v>13</v>
      </c>
    </row>
    <row r="3">
      <c r="A3" s="30">
        <v>2.0</v>
      </c>
      <c r="B3" s="632" t="s">
        <v>152</v>
      </c>
    </row>
    <row r="4">
      <c r="A4" s="30">
        <v>3.0</v>
      </c>
      <c r="B4" s="633" t="s">
        <v>810</v>
      </c>
    </row>
    <row r="5">
      <c r="A5" s="30">
        <v>4.0</v>
      </c>
      <c r="B5" s="633" t="s">
        <v>811</v>
      </c>
    </row>
    <row r="6">
      <c r="A6" s="30">
        <v>5.0</v>
      </c>
      <c r="B6" s="634" t="s">
        <v>14</v>
      </c>
    </row>
    <row r="7">
      <c r="A7" s="30">
        <v>6.0</v>
      </c>
      <c r="B7" s="634" t="s">
        <v>812</v>
      </c>
    </row>
    <row r="8">
      <c r="A8" s="30">
        <v>7.0</v>
      </c>
      <c r="B8" s="634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63"/>
    <col customWidth="1" min="5" max="5" width="31.88"/>
    <col customWidth="1" min="6" max="6" width="25.0"/>
  </cols>
  <sheetData>
    <row r="1">
      <c r="A1" s="13">
        <v>1.0</v>
      </c>
      <c r="B1" s="23" t="s">
        <v>813</v>
      </c>
      <c r="C1" s="13">
        <v>9333.0</v>
      </c>
      <c r="D1" s="13" t="s">
        <v>17</v>
      </c>
      <c r="E1" s="13">
        <v>5.01111864E8</v>
      </c>
      <c r="F1" s="23" t="s">
        <v>18</v>
      </c>
      <c r="G1" s="16"/>
      <c r="H1" s="13">
        <v>28000.0</v>
      </c>
      <c r="I1" s="17"/>
      <c r="J1" s="18">
        <v>9333.0</v>
      </c>
      <c r="K1" s="18">
        <v>9333.0</v>
      </c>
      <c r="L1" s="18">
        <v>9333.0</v>
      </c>
      <c r="M1" s="24" t="s">
        <v>19</v>
      </c>
      <c r="N1" s="25" t="s">
        <v>20</v>
      </c>
    </row>
    <row r="2">
      <c r="A2" s="13">
        <v>2.0</v>
      </c>
      <c r="B2" s="23" t="s">
        <v>813</v>
      </c>
      <c r="C2" s="13">
        <v>9333.0</v>
      </c>
      <c r="D2" s="36" t="s">
        <v>22</v>
      </c>
      <c r="E2" s="23">
        <v>5.02436017E8</v>
      </c>
      <c r="F2" s="23" t="s">
        <v>23</v>
      </c>
      <c r="G2" s="16"/>
      <c r="H2" s="13">
        <v>28000.0</v>
      </c>
      <c r="I2" s="17"/>
      <c r="J2" s="18">
        <v>9333.0</v>
      </c>
      <c r="K2" s="18">
        <v>9333.0</v>
      </c>
      <c r="L2" s="18">
        <v>9333.0</v>
      </c>
      <c r="M2" s="24" t="s">
        <v>19</v>
      </c>
      <c r="N2" s="25" t="s">
        <v>20</v>
      </c>
    </row>
    <row r="3">
      <c r="A3" s="13">
        <v>3.0</v>
      </c>
      <c r="B3" s="23" t="s">
        <v>813</v>
      </c>
      <c r="C3" s="13">
        <v>9333.0</v>
      </c>
      <c r="D3" s="13" t="s">
        <v>24</v>
      </c>
      <c r="E3" s="13">
        <v>5.52055729E8</v>
      </c>
      <c r="F3" s="13">
        <v>7.72732388E8</v>
      </c>
      <c r="G3" s="16"/>
      <c r="H3" s="13">
        <v>28000.0</v>
      </c>
      <c r="I3" s="17"/>
      <c r="J3" s="18">
        <v>9333.0</v>
      </c>
      <c r="K3" s="18">
        <v>9333.0</v>
      </c>
      <c r="L3" s="18">
        <v>9333.0</v>
      </c>
      <c r="M3" s="24" t="s">
        <v>19</v>
      </c>
      <c r="N3" s="29" t="s">
        <v>25</v>
      </c>
    </row>
    <row r="4">
      <c r="A4" s="13">
        <v>4.0</v>
      </c>
      <c r="B4" s="23"/>
      <c r="C4" s="13">
        <v>10000.0</v>
      </c>
      <c r="D4" s="13" t="s">
        <v>50</v>
      </c>
      <c r="E4" s="13">
        <v>5.0205577E8</v>
      </c>
      <c r="F4" s="13">
        <v>5.04586234E8</v>
      </c>
      <c r="G4" s="16"/>
      <c r="H4" s="13">
        <v>5000.0</v>
      </c>
      <c r="I4" s="17"/>
      <c r="J4" s="17"/>
      <c r="K4" s="17"/>
      <c r="L4" s="17"/>
      <c r="M4" s="24" t="s">
        <v>51</v>
      </c>
      <c r="N4" s="29" t="s">
        <v>25</v>
      </c>
    </row>
    <row r="5">
      <c r="A5" s="13">
        <v>5.0</v>
      </c>
      <c r="B5" s="23" t="s">
        <v>813</v>
      </c>
      <c r="C5" s="13">
        <v>9333.0</v>
      </c>
      <c r="D5" s="13" t="s">
        <v>29</v>
      </c>
      <c r="E5" s="13" t="s">
        <v>30</v>
      </c>
      <c r="F5" s="13" t="s">
        <v>31</v>
      </c>
      <c r="G5" s="16"/>
      <c r="H5" s="13">
        <v>28000.0</v>
      </c>
      <c r="I5" s="17"/>
      <c r="J5" s="18">
        <v>9333.0</v>
      </c>
      <c r="K5" s="18">
        <v>9333.0</v>
      </c>
      <c r="L5" s="18">
        <v>9333.0</v>
      </c>
      <c r="M5" s="24" t="s">
        <v>19</v>
      </c>
      <c r="N5" s="31" t="s">
        <v>32</v>
      </c>
    </row>
    <row r="6">
      <c r="A6" s="13">
        <v>6.0</v>
      </c>
      <c r="B6" s="23"/>
      <c r="C6" s="13">
        <v>10000.0</v>
      </c>
      <c r="D6" s="13" t="s">
        <v>33</v>
      </c>
      <c r="E6" s="13" t="s">
        <v>34</v>
      </c>
      <c r="F6" s="13" t="s">
        <v>35</v>
      </c>
      <c r="G6" s="16"/>
      <c r="H6" s="13">
        <v>5000.0</v>
      </c>
      <c r="I6" s="17"/>
      <c r="J6" s="18">
        <v>10000.0</v>
      </c>
      <c r="K6" s="18">
        <v>10000.0</v>
      </c>
      <c r="L6" s="18">
        <v>10000.0</v>
      </c>
      <c r="M6" s="24" t="s">
        <v>19</v>
      </c>
      <c r="N6" s="31" t="s">
        <v>32</v>
      </c>
    </row>
    <row r="7">
      <c r="A7" s="13">
        <v>7.0</v>
      </c>
      <c r="B7" s="23" t="s">
        <v>813</v>
      </c>
      <c r="C7" s="13">
        <v>10000.0</v>
      </c>
      <c r="D7" s="13" t="s">
        <v>36</v>
      </c>
      <c r="E7" s="13" t="s">
        <v>37</v>
      </c>
      <c r="F7" s="13" t="s">
        <v>38</v>
      </c>
      <c r="G7" s="16"/>
      <c r="H7" s="13">
        <v>10000.0</v>
      </c>
      <c r="I7" s="17"/>
      <c r="J7" s="18">
        <v>10000.0</v>
      </c>
      <c r="K7" s="18">
        <v>10000.0</v>
      </c>
      <c r="L7" s="18">
        <v>10000.0</v>
      </c>
      <c r="M7" s="24" t="s">
        <v>19</v>
      </c>
      <c r="N7" s="31" t="s">
        <v>32</v>
      </c>
    </row>
    <row r="8">
      <c r="A8" s="13">
        <v>8.0</v>
      </c>
      <c r="B8" s="23"/>
      <c r="C8" s="13">
        <v>10000.0</v>
      </c>
      <c r="D8" s="13" t="s">
        <v>39</v>
      </c>
      <c r="E8" s="13" t="s">
        <v>40</v>
      </c>
      <c r="F8" s="13" t="s">
        <v>41</v>
      </c>
      <c r="G8" s="16"/>
      <c r="H8" s="13">
        <v>10000.0</v>
      </c>
      <c r="I8" s="17"/>
      <c r="J8" s="18">
        <v>10000.0</v>
      </c>
      <c r="K8" s="18">
        <v>10000.0</v>
      </c>
      <c r="L8" s="18">
        <v>10000.0</v>
      </c>
      <c r="M8" s="24" t="s">
        <v>19</v>
      </c>
      <c r="N8" s="31" t="s">
        <v>32</v>
      </c>
    </row>
    <row r="9">
      <c r="A9" s="13">
        <v>9.0</v>
      </c>
      <c r="B9" s="23" t="s">
        <v>813</v>
      </c>
      <c r="C9" s="13">
        <v>9333.0</v>
      </c>
      <c r="D9" s="13" t="s">
        <v>42</v>
      </c>
      <c r="E9" s="13">
        <v>5.0991598E8</v>
      </c>
      <c r="F9" s="13">
        <v>9.99231185E8</v>
      </c>
      <c r="G9" s="16"/>
      <c r="H9" s="13">
        <v>28000.0</v>
      </c>
      <c r="I9" s="17"/>
      <c r="J9" s="18">
        <v>9333.0</v>
      </c>
      <c r="K9" s="18">
        <v>9333.0</v>
      </c>
      <c r="L9" s="18">
        <v>9333.0</v>
      </c>
      <c r="M9" s="24" t="s">
        <v>19</v>
      </c>
      <c r="N9" s="29" t="s">
        <v>25</v>
      </c>
    </row>
    <row r="10">
      <c r="A10" s="13">
        <v>10.0</v>
      </c>
      <c r="B10" s="23" t="s">
        <v>813</v>
      </c>
      <c r="C10" s="13">
        <v>10000.0</v>
      </c>
      <c r="D10" s="13" t="s">
        <v>59</v>
      </c>
      <c r="E10" s="13" t="s">
        <v>60</v>
      </c>
      <c r="F10" s="13" t="s">
        <v>61</v>
      </c>
      <c r="G10" s="16"/>
      <c r="H10" s="13">
        <v>30000.0</v>
      </c>
      <c r="I10" s="17"/>
      <c r="J10" s="18">
        <v>10000.0</v>
      </c>
      <c r="K10" s="18">
        <v>10000.0</v>
      </c>
      <c r="L10" s="18">
        <v>10000.0</v>
      </c>
      <c r="M10" s="63" t="s">
        <v>19</v>
      </c>
      <c r="N10" s="61" t="s">
        <v>32</v>
      </c>
    </row>
    <row r="11">
      <c r="A11" s="13">
        <v>11.0</v>
      </c>
      <c r="B11" s="23"/>
      <c r="C11" s="13">
        <v>10000.0</v>
      </c>
      <c r="D11" s="13" t="s">
        <v>62</v>
      </c>
      <c r="E11" s="13" t="s">
        <v>63</v>
      </c>
      <c r="F11" s="13" t="s">
        <v>64</v>
      </c>
      <c r="G11" s="16"/>
      <c r="H11" s="13">
        <v>30000.0</v>
      </c>
      <c r="I11" s="17"/>
      <c r="J11" s="18">
        <v>10000.0</v>
      </c>
      <c r="K11" s="18">
        <v>10000.0</v>
      </c>
      <c r="L11" s="18">
        <v>10000.0</v>
      </c>
      <c r="M11" s="63" t="s">
        <v>19</v>
      </c>
      <c r="N11" s="64" t="s">
        <v>32</v>
      </c>
    </row>
    <row r="12">
      <c r="A12" s="13">
        <v>12.0</v>
      </c>
      <c r="B12" s="23"/>
      <c r="C12" s="13">
        <v>10000.0</v>
      </c>
      <c r="D12" s="13" t="s">
        <v>65</v>
      </c>
      <c r="E12" s="13" t="s">
        <v>66</v>
      </c>
      <c r="F12" s="13" t="s">
        <v>67</v>
      </c>
      <c r="G12" s="16"/>
      <c r="H12" s="13">
        <v>30000.0</v>
      </c>
      <c r="I12" s="17"/>
      <c r="J12" s="18">
        <v>10000.0</v>
      </c>
      <c r="K12" s="18">
        <v>10000.0</v>
      </c>
      <c r="L12" s="18">
        <v>10000.0</v>
      </c>
      <c r="M12" s="63" t="s">
        <v>19</v>
      </c>
      <c r="N12" s="25" t="s">
        <v>20</v>
      </c>
    </row>
    <row r="13">
      <c r="A13" s="13">
        <v>13.0</v>
      </c>
      <c r="B13" s="23" t="s">
        <v>813</v>
      </c>
      <c r="C13" s="13">
        <v>9333.0</v>
      </c>
      <c r="D13" s="13" t="s">
        <v>96</v>
      </c>
      <c r="E13" s="13" t="s">
        <v>97</v>
      </c>
      <c r="F13" s="13" t="s">
        <v>98</v>
      </c>
      <c r="G13" s="16"/>
      <c r="H13" s="13">
        <v>28000.0</v>
      </c>
      <c r="I13" s="17"/>
      <c r="J13" s="18">
        <v>9333.0</v>
      </c>
      <c r="K13" s="18">
        <v>9333.0</v>
      </c>
      <c r="L13" s="18">
        <v>9333.0</v>
      </c>
      <c r="M13" s="63" t="s">
        <v>19</v>
      </c>
      <c r="N13" s="25" t="s">
        <v>20</v>
      </c>
    </row>
    <row r="14">
      <c r="A14" s="13">
        <v>14.0</v>
      </c>
      <c r="B14" s="23" t="s">
        <v>813</v>
      </c>
      <c r="C14" s="13">
        <v>10000.0</v>
      </c>
      <c r="D14" s="13" t="s">
        <v>102</v>
      </c>
      <c r="E14" s="13">
        <v>9.99230282E8</v>
      </c>
      <c r="F14" s="13">
        <v>7.00094318E8</v>
      </c>
      <c r="G14" s="16"/>
      <c r="H14" s="13">
        <v>5000.0</v>
      </c>
      <c r="I14" s="17"/>
      <c r="J14" s="18"/>
      <c r="K14" s="17"/>
      <c r="L14" s="17"/>
      <c r="M14" s="63" t="s">
        <v>19</v>
      </c>
      <c r="N14" s="62" t="s">
        <v>103</v>
      </c>
    </row>
    <row r="15">
      <c r="A15" s="13">
        <v>15.0</v>
      </c>
      <c r="B15" s="23" t="s">
        <v>813</v>
      </c>
      <c r="C15" s="13">
        <v>9333.0</v>
      </c>
      <c r="D15" s="36" t="s">
        <v>99</v>
      </c>
      <c r="E15" s="36" t="s">
        <v>100</v>
      </c>
      <c r="F15" s="13" t="s">
        <v>101</v>
      </c>
      <c r="G15" s="16"/>
      <c r="H15" s="13">
        <v>28000.0</v>
      </c>
      <c r="I15" s="17"/>
      <c r="J15" s="18">
        <v>9333.0</v>
      </c>
      <c r="K15" s="18">
        <v>9333.0</v>
      </c>
      <c r="L15" s="18">
        <v>9333.0</v>
      </c>
      <c r="M15" s="63" t="s">
        <v>19</v>
      </c>
      <c r="N15" s="25" t="s">
        <v>20</v>
      </c>
    </row>
    <row r="16">
      <c r="A16" s="13">
        <v>16.0</v>
      </c>
      <c r="B16" s="23" t="s">
        <v>813</v>
      </c>
      <c r="C16" s="13">
        <v>9333.0</v>
      </c>
      <c r="D16" s="36" t="s">
        <v>93</v>
      </c>
      <c r="E16" s="36" t="s">
        <v>94</v>
      </c>
      <c r="F16" s="13" t="s">
        <v>95</v>
      </c>
      <c r="G16" s="16"/>
      <c r="H16" s="13">
        <v>28000.0</v>
      </c>
      <c r="I16" s="17"/>
      <c r="J16" s="18">
        <v>9333.0</v>
      </c>
      <c r="K16" s="18">
        <v>9333.0</v>
      </c>
      <c r="L16" s="18">
        <v>9333.0</v>
      </c>
      <c r="M16" s="63" t="s">
        <v>19</v>
      </c>
      <c r="N16" s="25" t="s">
        <v>20</v>
      </c>
    </row>
    <row r="17">
      <c r="A17" s="13">
        <v>17.0</v>
      </c>
      <c r="B17" s="23" t="s">
        <v>813</v>
      </c>
      <c r="C17" s="59"/>
      <c r="D17" s="59" t="s">
        <v>131</v>
      </c>
      <c r="E17" s="63" t="s">
        <v>132</v>
      </c>
      <c r="F17" s="63" t="s">
        <v>133</v>
      </c>
      <c r="G17" s="55"/>
      <c r="H17" s="59" t="s">
        <v>814</v>
      </c>
      <c r="I17" s="18"/>
      <c r="J17" s="18"/>
      <c r="K17" s="18"/>
      <c r="L17" s="18"/>
      <c r="M17" s="63" t="s">
        <v>19</v>
      </c>
      <c r="N17" s="25" t="s">
        <v>20</v>
      </c>
    </row>
    <row r="18">
      <c r="A18" s="13">
        <v>18.0</v>
      </c>
      <c r="B18" s="23" t="s">
        <v>813</v>
      </c>
      <c r="C18" s="13">
        <v>10000.0</v>
      </c>
      <c r="D18" s="13" t="s">
        <v>26</v>
      </c>
      <c r="E18" s="13">
        <v>7.04144812E8</v>
      </c>
      <c r="F18" s="13" t="s">
        <v>27</v>
      </c>
      <c r="G18" s="16"/>
      <c r="H18" s="13">
        <v>15000.0</v>
      </c>
      <c r="I18" s="17"/>
      <c r="J18" s="18">
        <v>5000.0</v>
      </c>
      <c r="K18" s="18">
        <v>5000.0</v>
      </c>
      <c r="L18" s="18">
        <v>5000.0</v>
      </c>
      <c r="M18" s="24" t="s">
        <v>19</v>
      </c>
      <c r="N18" s="29" t="s">
        <v>25</v>
      </c>
      <c r="O18" s="30" t="s">
        <v>28</v>
      </c>
    </row>
    <row r="19">
      <c r="A19" s="13">
        <v>19.0</v>
      </c>
      <c r="B19" s="23" t="s">
        <v>813</v>
      </c>
      <c r="C19" s="13">
        <v>9333.0</v>
      </c>
      <c r="D19" s="13" t="s">
        <v>163</v>
      </c>
      <c r="E19" s="13" t="s">
        <v>164</v>
      </c>
      <c r="F19" s="13" t="s">
        <v>165</v>
      </c>
      <c r="G19" s="16"/>
      <c r="H19" s="13">
        <v>26950.0</v>
      </c>
      <c r="I19" s="17"/>
      <c r="J19" s="17"/>
      <c r="K19" s="17"/>
      <c r="L19" s="17"/>
      <c r="M19" s="63" t="s">
        <v>19</v>
      </c>
      <c r="N19" s="25" t="s">
        <v>20</v>
      </c>
    </row>
    <row r="20">
      <c r="A20" s="13">
        <v>19.0</v>
      </c>
      <c r="B20" s="23" t="s">
        <v>813</v>
      </c>
      <c r="C20" s="13">
        <v>9333.0</v>
      </c>
      <c r="D20" s="13" t="s">
        <v>163</v>
      </c>
      <c r="E20" s="13" t="s">
        <v>815</v>
      </c>
      <c r="F20" s="13" t="s">
        <v>816</v>
      </c>
      <c r="G20" s="16"/>
      <c r="H20" s="13">
        <v>26950.0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7.75"/>
    <col customWidth="1" min="4" max="4" width="21.25"/>
    <col customWidth="1" min="5" max="5" width="14.38"/>
    <col customWidth="1" min="6" max="6" width="28.88"/>
  </cols>
  <sheetData>
    <row r="4">
      <c r="A4" s="228" t="s">
        <v>817</v>
      </c>
      <c r="B4" s="172"/>
      <c r="C4" s="172"/>
      <c r="D4" s="172"/>
      <c r="E4" s="172"/>
      <c r="F4" s="172"/>
      <c r="G4" s="172"/>
      <c r="H4" s="172"/>
      <c r="I4" s="172"/>
      <c r="J4" s="173"/>
    </row>
    <row r="5">
      <c r="A5" s="232" t="s">
        <v>1</v>
      </c>
      <c r="B5" s="232" t="s">
        <v>2</v>
      </c>
      <c r="C5" s="232" t="s">
        <v>3</v>
      </c>
      <c r="D5" s="232" t="s">
        <v>4</v>
      </c>
      <c r="E5" s="232" t="s">
        <v>5</v>
      </c>
      <c r="F5" s="233" t="s">
        <v>6</v>
      </c>
      <c r="G5" s="234" t="s">
        <v>7</v>
      </c>
      <c r="H5" s="235" t="s">
        <v>8</v>
      </c>
      <c r="I5" s="236" t="s">
        <v>9</v>
      </c>
      <c r="J5" s="237" t="s">
        <v>49</v>
      </c>
    </row>
    <row r="6">
      <c r="A6" s="238">
        <v>1.0</v>
      </c>
      <c r="B6" s="239">
        <v>46181.0</v>
      </c>
      <c r="C6" s="243">
        <v>4000.0</v>
      </c>
      <c r="D6" s="358" t="s">
        <v>818</v>
      </c>
      <c r="E6" s="242">
        <v>9.99998914E8</v>
      </c>
      <c r="F6" s="635" t="s">
        <v>819</v>
      </c>
      <c r="G6" s="302"/>
      <c r="H6" s="245">
        <v>4000.0</v>
      </c>
      <c r="I6" s="255"/>
      <c r="J6" s="247"/>
      <c r="K6" s="30" t="s">
        <v>32</v>
      </c>
    </row>
    <row r="7">
      <c r="A7" s="246">
        <v>2.0</v>
      </c>
      <c r="B7" s="256">
        <v>46184.0</v>
      </c>
      <c r="C7" s="243">
        <v>3334.0</v>
      </c>
      <c r="D7" s="636" t="s">
        <v>820</v>
      </c>
      <c r="E7" s="258" t="s">
        <v>821</v>
      </c>
      <c r="F7" s="258" t="s">
        <v>822</v>
      </c>
      <c r="G7" s="304"/>
      <c r="H7" s="245">
        <v>3334.0</v>
      </c>
      <c r="I7" s="255"/>
      <c r="J7" s="247"/>
      <c r="K7" s="30" t="s">
        <v>20</v>
      </c>
    </row>
    <row r="8">
      <c r="A8" s="246">
        <v>3.0</v>
      </c>
      <c r="B8" s="256"/>
      <c r="C8" s="243">
        <v>4000.0</v>
      </c>
      <c r="D8" s="258" t="s">
        <v>823</v>
      </c>
      <c r="E8" s="258"/>
      <c r="F8" s="258"/>
      <c r="G8" s="254"/>
      <c r="H8" s="637">
        <v>4000.0</v>
      </c>
      <c r="I8" s="246"/>
      <c r="J8" s="247"/>
      <c r="K8" s="30" t="s">
        <v>32</v>
      </c>
    </row>
    <row r="9">
      <c r="A9" s="238">
        <v>4.0</v>
      </c>
      <c r="B9" s="251"/>
      <c r="C9" s="243">
        <v>4000.0</v>
      </c>
      <c r="D9" s="258" t="s">
        <v>824</v>
      </c>
      <c r="E9" s="243"/>
      <c r="F9" s="258"/>
      <c r="G9" s="258"/>
      <c r="H9" s="379">
        <v>4000.0</v>
      </c>
      <c r="I9" s="307"/>
      <c r="J9" s="259"/>
      <c r="K9" s="638" t="s">
        <v>74</v>
      </c>
    </row>
    <row r="10">
      <c r="A10" s="246">
        <v>5.0</v>
      </c>
      <c r="B10" s="256">
        <v>46189.0</v>
      </c>
      <c r="C10" s="243">
        <v>4000.0</v>
      </c>
      <c r="D10" s="341" t="s">
        <v>825</v>
      </c>
      <c r="E10" s="258" t="s">
        <v>826</v>
      </c>
      <c r="F10" s="258" t="s">
        <v>827</v>
      </c>
      <c r="G10" s="254"/>
      <c r="H10" s="245">
        <v>4000.0</v>
      </c>
      <c r="I10" s="255"/>
      <c r="J10" s="247"/>
      <c r="K10" s="30" t="s">
        <v>32</v>
      </c>
    </row>
    <row r="11">
      <c r="A11" s="246">
        <v>6.0</v>
      </c>
      <c r="B11" s="256">
        <v>46188.0</v>
      </c>
      <c r="C11" s="243">
        <v>4000.0</v>
      </c>
      <c r="D11" s="341" t="s">
        <v>828</v>
      </c>
      <c r="E11" s="258">
        <v>5.54240113E8</v>
      </c>
      <c r="F11" s="258"/>
      <c r="G11" s="254"/>
      <c r="H11" s="245">
        <v>4000.0</v>
      </c>
      <c r="I11" s="255"/>
      <c r="J11" s="247"/>
      <c r="K11" s="638" t="s">
        <v>74</v>
      </c>
    </row>
    <row r="12">
      <c r="A12" s="238">
        <v>7.0</v>
      </c>
      <c r="B12" s="256">
        <v>46190.0</v>
      </c>
      <c r="C12" s="243">
        <v>4000.0</v>
      </c>
      <c r="D12" s="639" t="s">
        <v>631</v>
      </c>
      <c r="E12" s="258">
        <v>5.55007749E8</v>
      </c>
      <c r="F12" s="258"/>
      <c r="G12" s="254"/>
      <c r="H12" s="245">
        <v>4000.0</v>
      </c>
      <c r="I12" s="255"/>
      <c r="J12" s="247"/>
      <c r="K12" s="638" t="s">
        <v>74</v>
      </c>
    </row>
    <row r="13">
      <c r="A13" s="246">
        <v>8.0</v>
      </c>
      <c r="B13" s="256">
        <v>46188.0</v>
      </c>
      <c r="C13" s="243">
        <v>4000.0</v>
      </c>
      <c r="D13" s="341" t="s">
        <v>829</v>
      </c>
      <c r="E13" s="258" t="s">
        <v>830</v>
      </c>
      <c r="F13" s="258">
        <v>9.96773233829E11</v>
      </c>
      <c r="G13" s="254"/>
      <c r="H13" s="245">
        <v>4000.0</v>
      </c>
      <c r="I13" s="255"/>
      <c r="J13" s="247"/>
      <c r="K13" s="30" t="s">
        <v>32</v>
      </c>
    </row>
    <row r="14">
      <c r="A14" s="246">
        <v>9.0</v>
      </c>
      <c r="B14" s="256"/>
      <c r="C14" s="243"/>
      <c r="D14" s="341" t="s">
        <v>831</v>
      </c>
      <c r="E14" s="258">
        <v>9.96778610397E11</v>
      </c>
      <c r="F14" s="258"/>
      <c r="G14" s="254"/>
      <c r="H14" s="245"/>
      <c r="I14" s="255"/>
      <c r="J14" s="247"/>
    </row>
    <row r="15">
      <c r="A15" s="238">
        <v>10.0</v>
      </c>
      <c r="B15" s="251"/>
      <c r="C15" s="252"/>
      <c r="D15" s="343" t="s">
        <v>832</v>
      </c>
      <c r="E15" s="252">
        <v>9.96507454411E11</v>
      </c>
      <c r="F15" s="252"/>
      <c r="G15" s="254"/>
      <c r="H15" s="245"/>
      <c r="I15" s="255"/>
      <c r="J15" s="247"/>
    </row>
    <row r="16">
      <c r="A16" s="246"/>
      <c r="B16" s="307"/>
      <c r="C16" s="243"/>
      <c r="D16" s="258"/>
      <c r="E16" s="305"/>
      <c r="F16" s="305"/>
      <c r="G16" s="254"/>
      <c r="H16" s="245"/>
      <c r="I16" s="255"/>
      <c r="J16" s="247"/>
    </row>
    <row r="17">
      <c r="A17" s="246"/>
      <c r="B17" s="251"/>
      <c r="C17" s="272"/>
      <c r="D17" s="258"/>
      <c r="E17" s="305"/>
      <c r="F17" s="305"/>
      <c r="G17" s="254"/>
      <c r="H17" s="245"/>
      <c r="I17" s="255"/>
      <c r="J17" s="247"/>
    </row>
    <row r="18">
      <c r="A18" s="238"/>
      <c r="B18" s="317"/>
      <c r="C18" s="318"/>
      <c r="D18" s="347"/>
      <c r="E18" s="320"/>
      <c r="F18" s="321"/>
      <c r="G18" s="322"/>
      <c r="H18" s="245"/>
      <c r="I18" s="323"/>
      <c r="J18" s="324"/>
    </row>
    <row r="19">
      <c r="A19" s="238"/>
      <c r="B19" s="640"/>
      <c r="C19" s="200"/>
      <c r="D19" s="641"/>
      <c r="E19" s="200"/>
      <c r="F19" s="200"/>
      <c r="G19" s="206"/>
      <c r="H19" s="200"/>
      <c r="I19" s="206"/>
      <c r="J19" s="206"/>
    </row>
    <row r="20">
      <c r="A20" s="246"/>
      <c r="B20" s="329"/>
      <c r="C20" s="200"/>
      <c r="D20" s="200"/>
      <c r="E20" s="200"/>
      <c r="F20" s="200"/>
      <c r="G20" s="206"/>
      <c r="H20" s="200"/>
      <c r="I20" s="206"/>
      <c r="J20" s="206"/>
    </row>
    <row r="22">
      <c r="D22" s="30" t="s">
        <v>833</v>
      </c>
      <c r="E22" s="30">
        <v>4000.0</v>
      </c>
    </row>
    <row r="23">
      <c r="D23" s="30" t="s">
        <v>834</v>
      </c>
      <c r="E23" s="30">
        <v>4000.0</v>
      </c>
    </row>
    <row r="24">
      <c r="D24" s="258" t="s">
        <v>823</v>
      </c>
      <c r="E24" s="30" t="s">
        <v>835</v>
      </c>
    </row>
    <row r="25">
      <c r="D25" s="258" t="s">
        <v>824</v>
      </c>
    </row>
  </sheetData>
  <mergeCells count="1">
    <mergeCell ref="A4:J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246">
        <v>11.0</v>
      </c>
      <c r="B1" s="510">
        <v>46185.0</v>
      </c>
      <c r="C1" s="439">
        <v>20000.0</v>
      </c>
      <c r="D1" s="253" t="s">
        <v>632</v>
      </c>
      <c r="E1" s="511" t="s">
        <v>633</v>
      </c>
      <c r="F1" s="511" t="s">
        <v>634</v>
      </c>
      <c r="G1" s="492"/>
      <c r="H1" s="511">
        <v>20000.0</v>
      </c>
      <c r="I1" s="419"/>
      <c r="J1" s="419"/>
      <c r="K1" s="240" t="s">
        <v>20</v>
      </c>
      <c r="L1" s="30" t="s">
        <v>836</v>
      </c>
      <c r="M1" s="30">
        <v>10000.0</v>
      </c>
      <c r="N1" s="642">
        <v>46197.0</v>
      </c>
    </row>
    <row r="11">
      <c r="L11" s="30" t="s">
        <v>0</v>
      </c>
    </row>
  </sheetData>
  <drawing r:id="rId1"/>
</worksheet>
</file>